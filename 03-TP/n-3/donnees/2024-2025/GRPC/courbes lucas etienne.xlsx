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E:\TP3 2C\"/>
    </mc:Choice>
  </mc:AlternateContent>
  <xr:revisionPtr revIDLastSave="0" documentId="8_{BBCE0F6D-2D30-4F6B-8409-04C95DCC01E1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H13" i="1" s="1"/>
  <c r="D2" i="1"/>
  <c r="H6" i="1"/>
  <c r="H8" i="1"/>
  <c r="H9" i="1"/>
  <c r="H10" i="1"/>
  <c r="H11" i="1"/>
  <c r="H12" i="1"/>
  <c r="H14" i="1"/>
  <c r="H18" i="1"/>
  <c r="H33" i="1"/>
  <c r="H34" i="1"/>
  <c r="H35" i="1"/>
  <c r="H36" i="1"/>
  <c r="H44" i="1"/>
  <c r="H45" i="1"/>
  <c r="H48" i="1"/>
  <c r="H50" i="1"/>
  <c r="H57" i="1"/>
  <c r="H58" i="1"/>
  <c r="H68" i="1"/>
  <c r="H69" i="1"/>
  <c r="H72" i="1"/>
  <c r="H74" i="1"/>
  <c r="H78" i="1"/>
  <c r="H80" i="1"/>
  <c r="H86" i="1"/>
  <c r="H90" i="1"/>
  <c r="H92" i="1"/>
  <c r="H93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2" i="1"/>
  <c r="H98" i="1" l="1"/>
  <c r="H66" i="1"/>
  <c r="H32" i="1"/>
  <c r="H96" i="1"/>
  <c r="H62" i="1"/>
  <c r="H30" i="1"/>
  <c r="H84" i="1"/>
  <c r="H56" i="1"/>
  <c r="H26" i="1"/>
  <c r="H83" i="1"/>
  <c r="H54" i="1"/>
  <c r="H24" i="1"/>
  <c r="H95" i="1"/>
  <c r="H71" i="1"/>
  <c r="H47" i="1"/>
  <c r="H23" i="1"/>
  <c r="H94" i="1"/>
  <c r="H70" i="1"/>
  <c r="H46" i="1"/>
  <c r="H22" i="1"/>
  <c r="H82" i="1"/>
  <c r="H60" i="1"/>
  <c r="H42" i="1"/>
  <c r="H21" i="1"/>
  <c r="H81" i="1"/>
  <c r="H59" i="1"/>
  <c r="H38" i="1"/>
  <c r="H20" i="1"/>
  <c r="H2" i="1"/>
  <c r="H91" i="1"/>
  <c r="H79" i="1"/>
  <c r="H67" i="1"/>
  <c r="H55" i="1"/>
  <c r="H43" i="1"/>
  <c r="H31" i="1"/>
  <c r="H19" i="1"/>
  <c r="H7" i="1"/>
  <c r="H101" i="1"/>
  <c r="L60" i="1" s="1"/>
  <c r="H89" i="1"/>
  <c r="H77" i="1"/>
  <c r="H65" i="1"/>
  <c r="H53" i="1"/>
  <c r="H41" i="1"/>
  <c r="H29" i="1"/>
  <c r="H17" i="1"/>
  <c r="H5" i="1"/>
  <c r="H100" i="1"/>
  <c r="H88" i="1"/>
  <c r="H76" i="1"/>
  <c r="H64" i="1"/>
  <c r="H52" i="1"/>
  <c r="H40" i="1"/>
  <c r="H28" i="1"/>
  <c r="H16" i="1"/>
  <c r="H4" i="1"/>
  <c r="H99" i="1"/>
  <c r="H87" i="1"/>
  <c r="H75" i="1"/>
  <c r="H63" i="1"/>
  <c r="H51" i="1"/>
  <c r="H39" i="1"/>
  <c r="H27" i="1"/>
  <c r="H15" i="1"/>
  <c r="H3" i="1"/>
  <c r="H97" i="1"/>
  <c r="H85" i="1"/>
  <c r="H73" i="1"/>
  <c r="H61" i="1"/>
  <c r="H49" i="1"/>
  <c r="H37" i="1"/>
  <c r="H25" i="1"/>
  <c r="L95" i="1"/>
  <c r="L83" i="1"/>
  <c r="L71" i="1"/>
  <c r="L15" i="1" l="1"/>
  <c r="L27" i="1"/>
  <c r="L52" i="1"/>
  <c r="L39" i="1"/>
  <c r="L68" i="1"/>
  <c r="L46" i="1"/>
  <c r="L80" i="1"/>
  <c r="L64" i="1"/>
  <c r="L92" i="1"/>
  <c r="L76" i="1"/>
  <c r="L22" i="1"/>
  <c r="L34" i="1"/>
  <c r="L58" i="1"/>
  <c r="L33" i="1"/>
  <c r="L8" i="1"/>
  <c r="L13" i="1"/>
  <c r="L41" i="1"/>
  <c r="L67" i="1"/>
  <c r="L98" i="1"/>
  <c r="L14" i="1"/>
  <c r="L42" i="1"/>
  <c r="L73" i="1"/>
  <c r="L101" i="1"/>
  <c r="L30" i="1"/>
  <c r="L62" i="1"/>
  <c r="L6" i="1"/>
  <c r="L65" i="1"/>
  <c r="L17" i="1"/>
  <c r="L43" i="1"/>
  <c r="L74" i="1"/>
  <c r="L37" i="1"/>
  <c r="L18" i="1"/>
  <c r="L49" i="1"/>
  <c r="L77" i="1"/>
  <c r="L53" i="1"/>
  <c r="L79" i="1"/>
  <c r="L89" i="1"/>
  <c r="L31" i="1"/>
  <c r="L38" i="1"/>
  <c r="L97" i="1"/>
  <c r="L19" i="1"/>
  <c r="L50" i="1"/>
  <c r="L78" i="1"/>
  <c r="L25" i="1"/>
  <c r="L2" i="1"/>
  <c r="L61" i="1"/>
  <c r="L5" i="1"/>
  <c r="L7" i="1"/>
  <c r="L66" i="1"/>
  <c r="L26" i="1"/>
  <c r="L54" i="1"/>
  <c r="L85" i="1"/>
  <c r="L29" i="1"/>
  <c r="L55" i="1"/>
  <c r="L86" i="1"/>
  <c r="L90" i="1"/>
  <c r="L91" i="1"/>
  <c r="L12" i="1"/>
  <c r="L24" i="1"/>
  <c r="L36" i="1"/>
  <c r="L48" i="1"/>
  <c r="L20" i="1"/>
  <c r="L69" i="1"/>
  <c r="L23" i="1"/>
  <c r="L72" i="1"/>
  <c r="L4" i="1"/>
  <c r="L9" i="1"/>
  <c r="L51" i="1"/>
  <c r="L70" i="1"/>
  <c r="L75" i="1"/>
  <c r="L45" i="1"/>
  <c r="L32" i="1"/>
  <c r="L81" i="1"/>
  <c r="L35" i="1"/>
  <c r="L84" i="1"/>
  <c r="L16" i="1"/>
  <c r="L21" i="1"/>
  <c r="L100" i="1"/>
  <c r="L94" i="1"/>
  <c r="L57" i="1"/>
  <c r="L99" i="1"/>
  <c r="L44" i="1"/>
  <c r="L93" i="1"/>
  <c r="L47" i="1"/>
  <c r="L96" i="1"/>
  <c r="L28" i="1"/>
  <c r="L88" i="1"/>
  <c r="L63" i="1"/>
  <c r="L82" i="1"/>
  <c r="L87" i="1"/>
  <c r="L11" i="1"/>
  <c r="L56" i="1"/>
  <c r="L10" i="1"/>
  <c r="L59" i="1"/>
  <c r="L3" i="1"/>
  <c r="L40" i="1"/>
  <c r="P29" i="1" l="1"/>
  <c r="P17" i="1"/>
  <c r="P69" i="1"/>
  <c r="P32" i="1"/>
  <c r="P70" i="1"/>
  <c r="P9" i="1"/>
  <c r="P10" i="1"/>
  <c r="P33" i="1"/>
  <c r="P76" i="1"/>
  <c r="P34" i="1"/>
  <c r="P89" i="1"/>
  <c r="P93" i="1"/>
  <c r="P58" i="1"/>
  <c r="P68" i="1"/>
  <c r="P40" i="1"/>
  <c r="P92" i="1"/>
  <c r="P41" i="1"/>
  <c r="P8" i="1"/>
  <c r="P16" i="1"/>
  <c r="P4" i="1"/>
  <c r="P44" i="1"/>
  <c r="P94" i="1"/>
  <c r="P5" i="1"/>
  <c r="P45" i="1"/>
  <c r="P100" i="1"/>
  <c r="P101" i="1"/>
  <c r="P64" i="1"/>
  <c r="P65" i="1"/>
  <c r="P57" i="1"/>
  <c r="P83" i="1"/>
  <c r="P25" i="1"/>
  <c r="P74" i="1"/>
  <c r="P6" i="1"/>
  <c r="P55" i="1"/>
  <c r="P22" i="1"/>
  <c r="P73" i="1"/>
  <c r="P66" i="1"/>
  <c r="P78" i="1"/>
  <c r="P52" i="1"/>
  <c r="P72" i="1"/>
  <c r="P90" i="1"/>
  <c r="P96" i="1"/>
  <c r="P59" i="1"/>
  <c r="P87" i="1"/>
  <c r="P62" i="1"/>
  <c r="P95" i="1"/>
  <c r="P37" i="1"/>
  <c r="P86" i="1"/>
  <c r="P18" i="1"/>
  <c r="P67" i="1"/>
  <c r="P77" i="1"/>
  <c r="P15" i="1"/>
  <c r="P82" i="1"/>
  <c r="P97" i="1"/>
  <c r="P23" i="1"/>
  <c r="P7" i="1"/>
  <c r="P47" i="1"/>
  <c r="P38" i="1"/>
  <c r="P2" i="1"/>
  <c r="P43" i="1"/>
  <c r="P12" i="1"/>
  <c r="P49" i="1"/>
  <c r="P98" i="1"/>
  <c r="P30" i="1"/>
  <c r="P79" i="1"/>
  <c r="P46" i="1"/>
  <c r="P54" i="1"/>
  <c r="P48" i="1"/>
  <c r="P56" i="1"/>
  <c r="P39" i="1"/>
  <c r="P51" i="1"/>
  <c r="P35" i="1"/>
  <c r="P84" i="1"/>
  <c r="P63" i="1"/>
  <c r="P75" i="1"/>
  <c r="P81" i="1"/>
  <c r="P88" i="1"/>
  <c r="P24" i="1"/>
  <c r="P61" i="1"/>
  <c r="P3" i="1"/>
  <c r="P42" i="1"/>
  <c r="P91" i="1"/>
  <c r="P20" i="1"/>
  <c r="P36" i="1"/>
  <c r="P85" i="1"/>
  <c r="P80" i="1"/>
  <c r="P60" i="1"/>
  <c r="P28" i="1"/>
  <c r="P26" i="1"/>
  <c r="P50" i="1"/>
  <c r="P71" i="1"/>
  <c r="P99" i="1"/>
  <c r="P53" i="1"/>
  <c r="P27" i="1"/>
  <c r="P11" i="1"/>
  <c r="P14" i="1"/>
  <c r="P21" i="1"/>
  <c r="P19" i="1"/>
  <c r="P31" i="1"/>
  <c r="P13" i="1"/>
  <c r="T12" i="1" l="1"/>
  <c r="T32" i="1"/>
  <c r="T86" i="1"/>
  <c r="T60" i="1"/>
  <c r="T85" i="1"/>
  <c r="T27" i="1"/>
  <c r="T64" i="1"/>
  <c r="T101" i="1"/>
  <c r="T31" i="1"/>
  <c r="T82" i="1"/>
  <c r="T20" i="1"/>
  <c r="T75" i="1"/>
  <c r="T79" i="1"/>
  <c r="T92" i="1"/>
  <c r="T78" i="1"/>
  <c r="T69" i="1"/>
  <c r="T28" i="1"/>
  <c r="T95" i="1"/>
  <c r="T40" i="1"/>
  <c r="T24" i="1"/>
  <c r="T19" i="1"/>
  <c r="T26" i="1"/>
  <c r="T98" i="1"/>
  <c r="T39" i="1"/>
  <c r="T76" i="1"/>
  <c r="T6" i="1"/>
  <c r="T43" i="1"/>
  <c r="T94" i="1"/>
  <c r="T96" i="1"/>
  <c r="T42" i="1"/>
  <c r="T87" i="1"/>
  <c r="T29" i="1"/>
  <c r="T33" i="1"/>
  <c r="T97" i="1"/>
  <c r="T22" i="1"/>
  <c r="T93" i="1"/>
  <c r="T81" i="1"/>
  <c r="T65" i="1"/>
  <c r="T46" i="1"/>
  <c r="T62" i="1"/>
  <c r="T77" i="1"/>
  <c r="T70" i="1"/>
  <c r="T84" i="1"/>
  <c r="T72" i="1"/>
  <c r="T51" i="1"/>
  <c r="T88" i="1"/>
  <c r="T18" i="1"/>
  <c r="T55" i="1"/>
  <c r="T11" i="1"/>
  <c r="T68" i="1"/>
  <c r="T5" i="1"/>
  <c r="T9" i="1"/>
  <c r="T49" i="1"/>
  <c r="T91" i="1"/>
  <c r="T21" i="1"/>
  <c r="T66" i="1"/>
  <c r="T57" i="1"/>
  <c r="T71" i="1"/>
  <c r="T73" i="1"/>
  <c r="T16" i="1"/>
  <c r="T34" i="1"/>
  <c r="T45" i="1"/>
  <c r="T2" i="1"/>
  <c r="T14" i="1"/>
  <c r="T15" i="1"/>
  <c r="T25" i="1"/>
  <c r="T44" i="1"/>
  <c r="T63" i="1"/>
  <c r="T100" i="1"/>
  <c r="T30" i="1"/>
  <c r="T67" i="1"/>
  <c r="T23" i="1"/>
  <c r="T37" i="1"/>
  <c r="T35" i="1"/>
  <c r="T54" i="1"/>
  <c r="T59" i="1"/>
  <c r="T41" i="1"/>
  <c r="T56" i="1"/>
  <c r="T90" i="1"/>
  <c r="T83" i="1"/>
  <c r="T38" i="1"/>
  <c r="T50" i="1"/>
  <c r="T3" i="1"/>
  <c r="T58" i="1"/>
  <c r="T89" i="1"/>
  <c r="T80" i="1"/>
  <c r="T13" i="1"/>
  <c r="T48" i="1"/>
  <c r="T17" i="1"/>
  <c r="T47" i="1"/>
  <c r="T61" i="1"/>
  <c r="T99" i="1"/>
  <c r="T10" i="1"/>
  <c r="T74" i="1"/>
  <c r="T4" i="1"/>
  <c r="T53" i="1"/>
  <c r="T7" i="1"/>
  <c r="T36" i="1"/>
  <c r="T52" i="1"/>
  <c r="T8" i="1"/>
  <c r="X7" i="1" l="1"/>
  <c r="X56" i="1"/>
  <c r="X10" i="1"/>
  <c r="X59" i="1"/>
  <c r="X3" i="1"/>
  <c r="X2" i="1"/>
  <c r="X30" i="1"/>
  <c r="X64" i="1"/>
  <c r="X97" i="1"/>
  <c r="X19" i="1"/>
  <c r="X68" i="1"/>
  <c r="X71" i="1"/>
  <c r="X15" i="1"/>
  <c r="X73" i="1"/>
  <c r="X41" i="1"/>
  <c r="X14" i="1"/>
  <c r="X70" i="1"/>
  <c r="X72" i="1"/>
  <c r="X79" i="1"/>
  <c r="X38" i="1"/>
  <c r="X29" i="1"/>
  <c r="X88" i="1"/>
  <c r="X69" i="1"/>
  <c r="X74" i="1"/>
  <c r="X65" i="1"/>
  <c r="X32" i="1"/>
  <c r="X5" i="1"/>
  <c r="X44" i="1"/>
  <c r="X36" i="1"/>
  <c r="X22" i="1"/>
  <c r="X18" i="1"/>
  <c r="X90" i="1"/>
  <c r="X13" i="1"/>
  <c r="X21" i="1"/>
  <c r="X63" i="1"/>
  <c r="X101" i="1"/>
  <c r="X33" i="1"/>
  <c r="X42" i="1"/>
  <c r="X61" i="1"/>
  <c r="X20" i="1"/>
  <c r="X25" i="1"/>
  <c r="X81" i="1"/>
  <c r="X48" i="1"/>
  <c r="X76" i="1"/>
  <c r="X31" i="1"/>
  <c r="X80" i="1"/>
  <c r="X34" i="1"/>
  <c r="X83" i="1"/>
  <c r="X27" i="1"/>
  <c r="X49" i="1"/>
  <c r="X28" i="1"/>
  <c r="X12" i="1"/>
  <c r="X100" i="1"/>
  <c r="X55" i="1"/>
  <c r="X4" i="1"/>
  <c r="X67" i="1"/>
  <c r="X24" i="1"/>
  <c r="X82" i="1"/>
  <c r="X52" i="1"/>
  <c r="X37" i="1"/>
  <c r="X17" i="1"/>
  <c r="X86" i="1"/>
  <c r="X47" i="1"/>
  <c r="X40" i="1"/>
  <c r="X43" i="1"/>
  <c r="X92" i="1"/>
  <c r="X46" i="1"/>
  <c r="X95" i="1"/>
  <c r="X39" i="1"/>
  <c r="X77" i="1"/>
  <c r="X54" i="1"/>
  <c r="X66" i="1"/>
  <c r="X16" i="1"/>
  <c r="X9" i="1"/>
  <c r="X58" i="1"/>
  <c r="X51" i="1"/>
  <c r="X85" i="1"/>
  <c r="X26" i="1"/>
  <c r="X75" i="1"/>
  <c r="X62" i="1"/>
  <c r="X23" i="1"/>
  <c r="X53" i="1"/>
  <c r="X93" i="1"/>
  <c r="X84" i="1"/>
  <c r="X91" i="1"/>
  <c r="X45" i="1"/>
  <c r="X94" i="1"/>
  <c r="X50" i="1"/>
  <c r="X87" i="1"/>
  <c r="X78" i="1"/>
  <c r="X60" i="1"/>
  <c r="X6" i="1"/>
  <c r="X8" i="1"/>
  <c r="X57" i="1"/>
  <c r="X11" i="1"/>
  <c r="X99" i="1"/>
  <c r="X89" i="1"/>
  <c r="X35" i="1"/>
  <c r="X96" i="1"/>
  <c r="X98" i="1"/>
  <c r="AB12" i="1" l="1"/>
  <c r="AB61" i="1"/>
  <c r="AB86" i="1"/>
  <c r="AB18" i="1"/>
  <c r="AB55" i="1"/>
  <c r="AB5" i="1"/>
  <c r="AB100" i="1"/>
  <c r="AB56" i="1"/>
  <c r="AB60" i="1"/>
  <c r="AB24" i="1"/>
  <c r="AB73" i="1"/>
  <c r="AB98" i="1"/>
  <c r="AB30" i="1"/>
  <c r="AB67" i="1"/>
  <c r="AB34" i="1"/>
  <c r="AB45" i="1"/>
  <c r="AB20" i="1"/>
  <c r="AB11" i="1"/>
  <c r="AB88" i="1"/>
  <c r="AB72" i="1"/>
  <c r="AB89" i="1"/>
  <c r="AB2" i="1"/>
  <c r="AB59" i="1"/>
  <c r="AB9" i="1"/>
  <c r="AB64" i="1"/>
  <c r="AB43" i="1"/>
  <c r="AB36" i="1"/>
  <c r="AB85" i="1"/>
  <c r="AB3" i="1"/>
  <c r="AB42" i="1"/>
  <c r="AB79" i="1"/>
  <c r="AB65" i="1"/>
  <c r="AB10" i="1"/>
  <c r="AB52" i="1"/>
  <c r="AB78" i="1"/>
  <c r="AB22" i="1"/>
  <c r="AB57" i="1"/>
  <c r="AB13" i="1"/>
  <c r="AB50" i="1"/>
  <c r="AB49" i="1"/>
  <c r="AB48" i="1"/>
  <c r="AB97" i="1"/>
  <c r="AB15" i="1"/>
  <c r="AB54" i="1"/>
  <c r="AB91" i="1"/>
  <c r="AB93" i="1"/>
  <c r="AB44" i="1"/>
  <c r="AB80" i="1"/>
  <c r="AB4" i="1"/>
  <c r="AB66" i="1"/>
  <c r="AB70" i="1"/>
  <c r="AB28" i="1"/>
  <c r="AB58" i="1"/>
  <c r="AB101" i="1"/>
  <c r="AB84" i="1"/>
  <c r="AB51" i="1"/>
  <c r="AB40" i="1"/>
  <c r="AB47" i="1"/>
  <c r="AB63" i="1"/>
  <c r="AB68" i="1"/>
  <c r="AB75" i="1"/>
  <c r="AB94" i="1"/>
  <c r="AB71" i="1"/>
  <c r="AB19" i="1"/>
  <c r="AB46" i="1"/>
  <c r="AB83" i="1"/>
  <c r="AB62" i="1"/>
  <c r="AB31" i="1"/>
  <c r="AB77" i="1"/>
  <c r="AB95" i="1"/>
  <c r="AB74" i="1"/>
  <c r="AB92" i="1"/>
  <c r="AB53" i="1"/>
  <c r="AB27" i="1"/>
  <c r="AB32" i="1"/>
  <c r="AB21" i="1"/>
  <c r="AB23" i="1"/>
  <c r="AB39" i="1"/>
  <c r="AB8" i="1"/>
  <c r="AB81" i="1"/>
  <c r="AB35" i="1"/>
  <c r="AB14" i="1"/>
  <c r="AB90" i="1"/>
  <c r="AB16" i="1"/>
  <c r="AB96" i="1"/>
  <c r="AB26" i="1"/>
  <c r="AB76" i="1"/>
  <c r="AB82" i="1"/>
  <c r="AB38" i="1"/>
  <c r="AB7" i="1"/>
  <c r="AB29" i="1"/>
  <c r="AB17" i="1"/>
  <c r="AB25" i="1"/>
  <c r="AB87" i="1"/>
  <c r="AB33" i="1"/>
  <c r="AB37" i="1"/>
  <c r="AB99" i="1"/>
  <c r="AB41" i="1"/>
  <c r="AB6" i="1"/>
  <c r="AB69" i="1"/>
  <c r="AF99" i="1" l="1"/>
  <c r="AF80" i="1"/>
  <c r="AF68" i="1"/>
  <c r="AF7" i="1"/>
  <c r="AF58" i="1"/>
  <c r="AF83" i="1"/>
  <c r="AF36" i="1"/>
  <c r="AF60" i="1"/>
  <c r="AF56" i="1"/>
  <c r="AF6" i="1"/>
  <c r="AF19" i="1"/>
  <c r="AF70" i="1"/>
  <c r="AF95" i="1"/>
  <c r="AF72" i="1"/>
  <c r="AF18" i="1"/>
  <c r="AF82" i="1"/>
  <c r="AF49" i="1"/>
  <c r="AF43" i="1"/>
  <c r="AF85" i="1"/>
  <c r="AF3" i="1"/>
  <c r="AF28" i="1"/>
  <c r="AF55" i="1"/>
  <c r="AF12" i="1"/>
  <c r="AF50" i="1"/>
  <c r="AF15" i="1"/>
  <c r="AF53" i="1"/>
  <c r="AF67" i="1"/>
  <c r="AF74" i="1"/>
  <c r="AF59" i="1"/>
  <c r="AF71" i="1"/>
  <c r="AF5" i="1"/>
  <c r="AF9" i="1"/>
  <c r="AF37" i="1"/>
  <c r="AF16" i="1"/>
  <c r="AF29" i="1"/>
  <c r="AF94" i="1"/>
  <c r="AF73" i="1"/>
  <c r="AF42" i="1"/>
  <c r="AF38" i="1"/>
  <c r="AF54" i="1"/>
  <c r="AF81" i="1"/>
  <c r="AF27" i="1"/>
  <c r="AF65" i="1"/>
  <c r="AF66" i="1"/>
  <c r="AF79" i="1"/>
  <c r="AF11" i="1"/>
  <c r="AF26" i="1"/>
  <c r="AF21" i="1"/>
  <c r="AF47" i="1"/>
  <c r="AF86" i="1"/>
  <c r="AF75" i="1"/>
  <c r="AF32" i="1"/>
  <c r="AF69" i="1"/>
  <c r="AF87" i="1"/>
  <c r="AF92" i="1"/>
  <c r="AF93" i="1"/>
  <c r="AF4" i="1"/>
  <c r="AF17" i="1"/>
  <c r="AF31" i="1"/>
  <c r="AF25" i="1"/>
  <c r="AF30" i="1"/>
  <c r="AF61" i="1"/>
  <c r="AF41" i="1"/>
  <c r="AF97" i="1"/>
  <c r="AF40" i="1"/>
  <c r="AF24" i="1"/>
  <c r="AF57" i="1"/>
  <c r="AF52" i="1"/>
  <c r="AF48" i="1"/>
  <c r="AF20" i="1"/>
  <c r="AF46" i="1"/>
  <c r="AF39" i="1"/>
  <c r="AF64" i="1"/>
  <c r="AF77" i="1"/>
  <c r="AF78" i="1"/>
  <c r="AF91" i="1"/>
  <c r="AF23" i="1"/>
  <c r="AF62" i="1"/>
  <c r="AF84" i="1"/>
  <c r="AF96" i="1"/>
  <c r="AF51" i="1"/>
  <c r="AF76" i="1"/>
  <c r="AF89" i="1"/>
  <c r="AF90" i="1"/>
  <c r="AF10" i="1"/>
  <c r="AF35" i="1"/>
  <c r="AF98" i="1"/>
  <c r="AF13" i="1"/>
  <c r="AF63" i="1"/>
  <c r="AF88" i="1"/>
  <c r="AF101" i="1"/>
  <c r="AF2" i="1"/>
  <c r="AF22" i="1"/>
  <c r="AF33" i="1"/>
  <c r="AF100" i="1"/>
  <c r="AF34" i="1"/>
  <c r="AF14" i="1"/>
  <c r="AF8" i="1"/>
  <c r="AF44" i="1"/>
  <c r="AF45" i="1"/>
  <c r="AJ12" i="1" l="1"/>
  <c r="AJ21" i="1"/>
  <c r="AJ34" i="1"/>
  <c r="AJ71" i="1"/>
  <c r="AJ4" i="1"/>
  <c r="AJ51" i="1"/>
  <c r="AJ42" i="1"/>
  <c r="AJ18" i="1"/>
  <c r="AJ19" i="1"/>
  <c r="AJ64" i="1"/>
  <c r="AJ5" i="1"/>
  <c r="AJ60" i="1"/>
  <c r="AJ73" i="1"/>
  <c r="AJ36" i="1"/>
  <c r="AJ54" i="1"/>
  <c r="AJ72" i="1"/>
  <c r="AJ6" i="1"/>
  <c r="AJ92" i="1"/>
  <c r="AJ35" i="1"/>
  <c r="AJ85" i="1"/>
  <c r="AJ13" i="1"/>
  <c r="AJ10" i="1"/>
  <c r="AJ41" i="1"/>
  <c r="AJ98" i="1"/>
  <c r="AJ96" i="1"/>
  <c r="AJ33" i="1"/>
  <c r="AJ46" i="1"/>
  <c r="AJ83" i="1"/>
  <c r="AJ16" i="1"/>
  <c r="AJ63" i="1"/>
  <c r="AJ89" i="1"/>
  <c r="AJ25" i="1"/>
  <c r="AJ77" i="1"/>
  <c r="AJ90" i="1"/>
  <c r="AJ26" i="1"/>
  <c r="AJ30" i="1"/>
  <c r="AJ93" i="1"/>
  <c r="AJ53" i="1"/>
  <c r="AJ100" i="1"/>
  <c r="AJ23" i="1"/>
  <c r="AJ74" i="1"/>
  <c r="AJ47" i="1"/>
  <c r="AJ91" i="1"/>
  <c r="AJ59" i="1"/>
  <c r="AJ8" i="1"/>
  <c r="AJ45" i="1"/>
  <c r="AJ58" i="1"/>
  <c r="AJ95" i="1"/>
  <c r="AJ28" i="1"/>
  <c r="AJ75" i="1"/>
  <c r="AJ101" i="1"/>
  <c r="AJ44" i="1"/>
  <c r="AJ56" i="1"/>
  <c r="AJ78" i="1"/>
  <c r="AJ68" i="1"/>
  <c r="AJ29" i="1"/>
  <c r="AJ3" i="1"/>
  <c r="AJ67" i="1"/>
  <c r="AJ24" i="1"/>
  <c r="AJ61" i="1"/>
  <c r="AJ9" i="1"/>
  <c r="AJ22" i="1"/>
  <c r="AJ39" i="1"/>
  <c r="AJ20" i="1"/>
  <c r="AJ57" i="1"/>
  <c r="AJ70" i="1"/>
  <c r="AJ48" i="1"/>
  <c r="AJ40" i="1"/>
  <c r="AJ87" i="1"/>
  <c r="AJ49" i="1"/>
  <c r="AJ17" i="1"/>
  <c r="AJ7" i="1"/>
  <c r="AJ69" i="1"/>
  <c r="AJ82" i="1"/>
  <c r="AJ52" i="1"/>
  <c r="AJ65" i="1"/>
  <c r="AJ81" i="1"/>
  <c r="AJ66" i="1"/>
  <c r="AJ76" i="1"/>
  <c r="AJ50" i="1"/>
  <c r="AJ55" i="1"/>
  <c r="AJ62" i="1"/>
  <c r="AJ37" i="1"/>
  <c r="AJ84" i="1"/>
  <c r="AJ86" i="1"/>
  <c r="AJ2" i="1"/>
  <c r="AJ32" i="1"/>
  <c r="AJ14" i="1"/>
  <c r="AJ99" i="1"/>
  <c r="AJ94" i="1"/>
  <c r="AJ31" i="1"/>
  <c r="AJ38" i="1"/>
  <c r="AJ43" i="1"/>
  <c r="AJ11" i="1"/>
  <c r="AJ97" i="1"/>
  <c r="AJ80" i="1"/>
  <c r="AJ15" i="1"/>
  <c r="AJ79" i="1"/>
  <c r="AJ27" i="1"/>
  <c r="AJ88" i="1"/>
  <c r="AN4" i="1" l="1"/>
  <c r="AN13" i="1"/>
  <c r="AN26" i="1"/>
  <c r="AN51" i="1"/>
  <c r="AN78" i="1"/>
  <c r="AN19" i="1"/>
  <c r="AN93" i="1"/>
  <c r="AN70" i="1"/>
  <c r="AN28" i="1"/>
  <c r="AN38" i="1"/>
  <c r="AN63" i="1"/>
  <c r="AN90" i="1"/>
  <c r="AN31" i="1"/>
  <c r="AN10" i="1"/>
  <c r="AN37" i="1"/>
  <c r="AN2" i="1"/>
  <c r="AN81" i="1"/>
  <c r="AN74" i="1"/>
  <c r="AN58" i="1"/>
  <c r="AN73" i="1"/>
  <c r="AN79" i="1"/>
  <c r="AN98" i="1"/>
  <c r="AN53" i="1"/>
  <c r="AN68" i="1"/>
  <c r="AN42" i="1"/>
  <c r="AN83" i="1"/>
  <c r="AN17" i="1"/>
  <c r="AN14" i="1"/>
  <c r="AN66" i="1"/>
  <c r="AN45" i="1"/>
  <c r="AN25" i="1"/>
  <c r="AN29" i="1"/>
  <c r="AN75" i="1"/>
  <c r="AN46" i="1"/>
  <c r="AN11" i="1"/>
  <c r="AN20" i="1"/>
  <c r="AN36" i="1"/>
  <c r="AN86" i="1"/>
  <c r="AN32" i="1"/>
  <c r="AN44" i="1"/>
  <c r="AN59" i="1"/>
  <c r="AN16" i="1"/>
  <c r="AN82" i="1"/>
  <c r="AN52" i="1"/>
  <c r="AN96" i="1"/>
  <c r="AN92" i="1"/>
  <c r="AN95" i="1"/>
  <c r="AN7" i="1"/>
  <c r="AN64" i="1"/>
  <c r="AN50" i="1"/>
  <c r="AN43" i="1"/>
  <c r="AN61" i="1"/>
  <c r="AN67" i="1"/>
  <c r="AN23" i="1"/>
  <c r="AN5" i="1"/>
  <c r="AN48" i="1"/>
  <c r="AN91" i="1"/>
  <c r="AN30" i="1"/>
  <c r="AN84" i="1"/>
  <c r="AN57" i="1"/>
  <c r="AN54" i="1"/>
  <c r="AN40" i="1"/>
  <c r="AN12" i="1"/>
  <c r="AN49" i="1"/>
  <c r="AN62" i="1"/>
  <c r="AN87" i="1"/>
  <c r="AN8" i="1"/>
  <c r="AN55" i="1"/>
  <c r="AN94" i="1"/>
  <c r="AN21" i="1"/>
  <c r="AN24" i="1"/>
  <c r="AN99" i="1"/>
  <c r="AN69" i="1"/>
  <c r="AN76" i="1"/>
  <c r="AN22" i="1"/>
  <c r="AN35" i="1"/>
  <c r="AN85" i="1"/>
  <c r="AN6" i="1"/>
  <c r="AN77" i="1"/>
  <c r="AN72" i="1"/>
  <c r="AN71" i="1"/>
  <c r="AN15" i="1"/>
  <c r="AN41" i="1"/>
  <c r="AN100" i="1"/>
  <c r="AN39" i="1"/>
  <c r="AN47" i="1"/>
  <c r="AN60" i="1"/>
  <c r="AN97" i="1"/>
  <c r="AN88" i="1"/>
  <c r="AN18" i="1"/>
  <c r="AN56" i="1"/>
  <c r="AN34" i="1"/>
  <c r="AN101" i="1"/>
  <c r="AN33" i="1"/>
  <c r="AN3" i="1"/>
  <c r="AN9" i="1"/>
  <c r="AN80" i="1"/>
  <c r="AN27" i="1"/>
  <c r="AN89" i="1"/>
  <c r="AN65" i="1"/>
</calcChain>
</file>

<file path=xl/sharedStrings.xml><?xml version="1.0" encoding="utf-8"?>
<sst xmlns="http://schemas.openxmlformats.org/spreadsheetml/2006/main" count="42" uniqueCount="42">
  <si>
    <t>t_C1</t>
  </si>
  <si>
    <t>U_C1</t>
  </si>
  <si>
    <t>t_D1</t>
  </si>
  <si>
    <t>U_D1</t>
  </si>
  <si>
    <t>t_C2</t>
  </si>
  <si>
    <t>U_C2</t>
  </si>
  <si>
    <t>t_D2</t>
  </si>
  <si>
    <t>U_D2</t>
  </si>
  <si>
    <t>t_C3</t>
  </si>
  <si>
    <t>U_C3</t>
  </si>
  <si>
    <t>t_D3</t>
  </si>
  <si>
    <t>U_D3</t>
  </si>
  <si>
    <t>t_C4</t>
  </si>
  <si>
    <t>U_C4</t>
  </si>
  <si>
    <t>t_D4</t>
  </si>
  <si>
    <t>U_D4</t>
  </si>
  <si>
    <t>t_C5</t>
  </si>
  <si>
    <t>U_C5</t>
  </si>
  <si>
    <t>t_D5</t>
  </si>
  <si>
    <t>U_D5</t>
  </si>
  <si>
    <t>C_C1</t>
  </si>
  <si>
    <t>C_D1</t>
  </si>
  <si>
    <t>C_C2</t>
  </si>
  <si>
    <t>C_D2</t>
  </si>
  <si>
    <t>C_C3</t>
  </si>
  <si>
    <t>C_D3</t>
  </si>
  <si>
    <t>C_C4</t>
  </si>
  <si>
    <t>C_D4</t>
  </si>
  <si>
    <t>C_C5</t>
  </si>
  <si>
    <t>C_D5</t>
  </si>
  <si>
    <t>SOC_1</t>
  </si>
  <si>
    <t>SOC_2</t>
  </si>
  <si>
    <t>SOC_3</t>
  </si>
  <si>
    <t>SOC_4</t>
  </si>
  <si>
    <t>SOC_5</t>
  </si>
  <si>
    <t xml:space="preserve">  </t>
  </si>
  <si>
    <t>SOC_D3</t>
  </si>
  <si>
    <t>SOC_D4</t>
  </si>
  <si>
    <t>SOC_D5</t>
  </si>
  <si>
    <t>SOC_D1</t>
  </si>
  <si>
    <t>SOC_D2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</si>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</sst>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Protection="0">
      <alignment horizontal="center" vertical="top"/>
    </xf>
  </cellStyleXfs>
  <cellXfs count="25">
    <xf numFmtId="0" fontId="0" fillId="0" borderId="0" xfId="0"/>
    <xf numFmtId="0" fontId="1" fillId="4" borderId="2" xfId="0" applyFont="1" applyFill="1" applyBorder="1"/>
    <xf numFmtId="0" fontId="1" fillId="2" borderId="4" xfId="1" applyFont="1" applyFill="1" applyBorder="1">
      <alignment horizontal="center" vertical="top"/>
    </xf>
    <xf numFmtId="0" fontId="1" fillId="2" borderId="5" xfId="1" applyFont="1" applyFill="1" applyBorder="1">
      <alignment horizontal="center" vertical="top"/>
    </xf>
    <xf numFmtId="0" fontId="1" fillId="3" borderId="6" xfId="1" applyFont="1" applyFill="1" applyBorder="1">
      <alignment horizontal="center" vertical="top"/>
    </xf>
    <xf numFmtId="0" fontId="1" fillId="3" borderId="7" xfId="1" applyFont="1" applyFill="1" applyBorder="1">
      <alignment horizontal="center" vertical="top"/>
    </xf>
    <xf numFmtId="0" fontId="1" fillId="4" borderId="8" xfId="0" applyFont="1" applyFill="1" applyBorder="1"/>
    <xf numFmtId="0" fontId="1" fillId="2" borderId="7" xfId="1" applyFont="1" applyFill="1" applyBorder="1">
      <alignment horizontal="center" vertical="top"/>
    </xf>
    <xf numFmtId="0" fontId="1" fillId="4" borderId="9" xfId="0" applyFont="1" applyFill="1" applyBorder="1"/>
    <xf numFmtId="0" fontId="1" fillId="0" borderId="3" xfId="1" applyFont="1" applyBorder="1">
      <alignment horizontal="center" vertical="top"/>
    </xf>
    <xf numFmtId="0" fontId="0" fillId="2" borderId="10" xfId="0" applyFill="1" applyBorder="1"/>
    <xf numFmtId="0" fontId="0" fillId="2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4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3" borderId="13" xfId="0" applyFill="1" applyBorder="1"/>
    <xf numFmtId="0" fontId="1" fillId="3" borderId="5" xfId="1" applyFont="1" applyFill="1" applyBorder="1">
      <alignment horizontal="center" vertical="top"/>
    </xf>
    <xf numFmtId="0" fontId="1" fillId="4" borderId="14" xfId="0" applyFont="1" applyFill="1" applyBorder="1"/>
    <xf numFmtId="0" fontId="0" fillId="4" borderId="10" xfId="0" applyFill="1" applyBorder="1"/>
    <xf numFmtId="0" fontId="1" fillId="5" borderId="2" xfId="0" applyFont="1" applyFill="1" applyBorder="1"/>
    <xf numFmtId="0" fontId="0" fillId="5" borderId="15" xfId="0" applyFill="1" applyBorder="1"/>
    <xf numFmtId="0" fontId="1" fillId="5" borderId="0" xfId="0" applyFont="1" applyFill="1"/>
    <xf numFmtId="0" fontId="0" fillId="5" borderId="0" xfId="0" applyFill="1"/>
  </cellXfs>
  <cellStyles count="2">
    <cellStyle name="Normal" xfId="0" builtinId="0"/>
    <cellStyle name="pd1" xfId="1" xr:uid="{00000000-0005-0000-0000-000006000000}"/>
  </cellStyles>
  <dxfs count="0"/>
  <tableStyles count="0" defaultTableStyle="TableStyleMedium2" defaultPivotStyle="PivotStyleLight16"/>
  <colors>
    <mruColors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la tension lors de la charge et de la décharge en fonction du temps d'acquisition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0-45A7-AF4E-1EEF0C0DC5B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0-45A7-AF4E-1EEF0C0DC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678111"/>
        <c:axId val="1745599215"/>
      </c:scatterChart>
      <c:valAx>
        <c:axId val="179467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5599215"/>
        <c:crosses val="autoZero"/>
        <c:crossBetween val="midCat"/>
      </c:valAx>
      <c:valAx>
        <c:axId val="174559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67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lors de la charge et de la décharge en fonction du temps d'acquisition 2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13-4250-BD54-8D97000FBB6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Sheet1!$N$2:$N$101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13-4250-BD54-8D97000F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29823"/>
        <c:axId val="2059519391"/>
      </c:scatterChart>
      <c:valAx>
        <c:axId val="2058029823"/>
        <c:scaling>
          <c:orientation val="minMax"/>
          <c:min val="6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519391"/>
        <c:crosses val="autoZero"/>
        <c:crossBetween val="midCat"/>
      </c:valAx>
      <c:valAx>
        <c:axId val="205951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802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lors de la charge et de la décharge en fonction du temps d'acquisition 3</a:t>
            </a:r>
            <a:endParaRPr lang="fr-FR" sz="1400">
              <a:effectLst/>
            </a:endParaRPr>
          </a:p>
        </c:rich>
      </c:tx>
      <c:layout>
        <c:manualLayout>
          <c:xMode val="edge"/>
          <c:yMode val="edge"/>
          <c:x val="0.12539566929133858"/>
          <c:y val="2.8020386485915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Sheet1!$R$2:$R$3</c:f>
              <c:strCache>
                <c:ptCount val="2"/>
                <c:pt idx="0">
                  <c:v>144037,7566</c:v>
                </c:pt>
                <c:pt idx="1">
                  <c:v>144401,3829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Sheet1!$R$2:$R$101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A0-4078-96A0-7E42D76DAF85}"/>
            </c:ext>
          </c:extLst>
        </c:ser>
        <c:ser>
          <c:idx val="1"/>
          <c:order val="1"/>
          <c:tx>
            <c:strRef>
              <c:f>Sheet1!$V$2:$V$101</c:f>
              <c:strCache>
                <c:ptCount val="100"/>
                <c:pt idx="0">
                  <c:v>180041,1479</c:v>
                </c:pt>
                <c:pt idx="1">
                  <c:v>180404,7742</c:v>
                </c:pt>
                <c:pt idx="2">
                  <c:v>180768,4005</c:v>
                </c:pt>
                <c:pt idx="3">
                  <c:v>181132,0267</c:v>
                </c:pt>
                <c:pt idx="4">
                  <c:v>181495,653</c:v>
                </c:pt>
                <c:pt idx="5">
                  <c:v>181859,2792</c:v>
                </c:pt>
                <c:pt idx="6">
                  <c:v>182222,9055</c:v>
                </c:pt>
                <c:pt idx="7">
                  <c:v>182586,5318</c:v>
                </c:pt>
                <c:pt idx="8">
                  <c:v>182950,158</c:v>
                </c:pt>
                <c:pt idx="9">
                  <c:v>183313,7843</c:v>
                </c:pt>
                <c:pt idx="10">
                  <c:v>183677,4105</c:v>
                </c:pt>
                <c:pt idx="11">
                  <c:v>184041,0368</c:v>
                </c:pt>
                <c:pt idx="12">
                  <c:v>184404,6631</c:v>
                </c:pt>
                <c:pt idx="13">
                  <c:v>184768,2893</c:v>
                </c:pt>
                <c:pt idx="14">
                  <c:v>185131,9156</c:v>
                </c:pt>
                <c:pt idx="15">
                  <c:v>185495,5419</c:v>
                </c:pt>
                <c:pt idx="16">
                  <c:v>185859,1681</c:v>
                </c:pt>
                <c:pt idx="17">
                  <c:v>186222,7944</c:v>
                </c:pt>
                <c:pt idx="18">
                  <c:v>186586,4206</c:v>
                </c:pt>
                <c:pt idx="19">
                  <c:v>186950,0469</c:v>
                </c:pt>
                <c:pt idx="20">
                  <c:v>187313,6732</c:v>
                </c:pt>
                <c:pt idx="21">
                  <c:v>187677,2994</c:v>
                </c:pt>
                <c:pt idx="22">
                  <c:v>188040,9257</c:v>
                </c:pt>
                <c:pt idx="23">
                  <c:v>188404,552</c:v>
                </c:pt>
                <c:pt idx="24">
                  <c:v>188768,1782</c:v>
                </c:pt>
                <c:pt idx="25">
                  <c:v>189131,8045</c:v>
                </c:pt>
                <c:pt idx="26">
                  <c:v>189495,4307</c:v>
                </c:pt>
                <c:pt idx="27">
                  <c:v>189859,057</c:v>
                </c:pt>
                <c:pt idx="28">
                  <c:v>190222,6833</c:v>
                </c:pt>
                <c:pt idx="29">
                  <c:v>190586,3095</c:v>
                </c:pt>
                <c:pt idx="30">
                  <c:v>190949,9358</c:v>
                </c:pt>
                <c:pt idx="31">
                  <c:v>191313,562</c:v>
                </c:pt>
                <c:pt idx="32">
                  <c:v>191677,1883</c:v>
                </c:pt>
                <c:pt idx="33">
                  <c:v>192040,8146</c:v>
                </c:pt>
                <c:pt idx="34">
                  <c:v>192404,4408</c:v>
                </c:pt>
                <c:pt idx="35">
                  <c:v>192768,0671</c:v>
                </c:pt>
                <c:pt idx="36">
                  <c:v>193131,6934</c:v>
                </c:pt>
                <c:pt idx="37">
                  <c:v>193495,3196</c:v>
                </c:pt>
                <c:pt idx="38">
                  <c:v>193858,9459</c:v>
                </c:pt>
                <c:pt idx="39">
                  <c:v>194222,5721</c:v>
                </c:pt>
                <c:pt idx="40">
                  <c:v>194586,1984</c:v>
                </c:pt>
                <c:pt idx="41">
                  <c:v>194949,8247</c:v>
                </c:pt>
                <c:pt idx="42">
                  <c:v>195313,4509</c:v>
                </c:pt>
                <c:pt idx="43">
                  <c:v>195677,0772</c:v>
                </c:pt>
                <c:pt idx="44">
                  <c:v>196040,7034</c:v>
                </c:pt>
                <c:pt idx="45">
                  <c:v>196404,3297</c:v>
                </c:pt>
                <c:pt idx="46">
                  <c:v>196767,956</c:v>
                </c:pt>
                <c:pt idx="47">
                  <c:v>197131,5822</c:v>
                </c:pt>
                <c:pt idx="48">
                  <c:v>197495,2085</c:v>
                </c:pt>
                <c:pt idx="49">
                  <c:v>197858,8348</c:v>
                </c:pt>
                <c:pt idx="50">
                  <c:v>198222,461</c:v>
                </c:pt>
                <c:pt idx="51">
                  <c:v>198586,0873</c:v>
                </c:pt>
                <c:pt idx="52">
                  <c:v>198949,7135</c:v>
                </c:pt>
                <c:pt idx="53">
                  <c:v>199313,3398</c:v>
                </c:pt>
                <c:pt idx="54">
                  <c:v>199676,9661</c:v>
                </c:pt>
                <c:pt idx="55">
                  <c:v>200040,5923</c:v>
                </c:pt>
                <c:pt idx="56">
                  <c:v>200404,2186</c:v>
                </c:pt>
                <c:pt idx="57">
                  <c:v>200767,8448</c:v>
                </c:pt>
                <c:pt idx="58">
                  <c:v>201131,4711</c:v>
                </c:pt>
                <c:pt idx="59">
                  <c:v>201495,0974</c:v>
                </c:pt>
                <c:pt idx="60">
                  <c:v>201858,7236</c:v>
                </c:pt>
                <c:pt idx="61">
                  <c:v>202222,3499</c:v>
                </c:pt>
                <c:pt idx="62">
                  <c:v>202585,9762</c:v>
                </c:pt>
                <c:pt idx="63">
                  <c:v>202949,6024</c:v>
                </c:pt>
                <c:pt idx="64">
                  <c:v>203313,2287</c:v>
                </c:pt>
                <c:pt idx="65">
                  <c:v>203676,8549</c:v>
                </c:pt>
                <c:pt idx="66">
                  <c:v>204040,4812</c:v>
                </c:pt>
                <c:pt idx="67">
                  <c:v>204404,1075</c:v>
                </c:pt>
                <c:pt idx="68">
                  <c:v>204767,7337</c:v>
                </c:pt>
                <c:pt idx="69">
                  <c:v>205131,36</c:v>
                </c:pt>
                <c:pt idx="70">
                  <c:v>205494,9863</c:v>
                </c:pt>
                <c:pt idx="71">
                  <c:v>205858,6125</c:v>
                </c:pt>
                <c:pt idx="72">
                  <c:v>206222,2388</c:v>
                </c:pt>
                <c:pt idx="73">
                  <c:v>206585,865</c:v>
                </c:pt>
                <c:pt idx="74">
                  <c:v>206949,4913</c:v>
                </c:pt>
                <c:pt idx="75">
                  <c:v>207313,1176</c:v>
                </c:pt>
                <c:pt idx="76">
                  <c:v>207676,7438</c:v>
                </c:pt>
                <c:pt idx="77">
                  <c:v>208040,3701</c:v>
                </c:pt>
                <c:pt idx="78">
                  <c:v>208403,9963</c:v>
                </c:pt>
                <c:pt idx="79">
                  <c:v>208767,6226</c:v>
                </c:pt>
                <c:pt idx="80">
                  <c:v>209131,2489</c:v>
                </c:pt>
                <c:pt idx="81">
                  <c:v>209494,8751</c:v>
                </c:pt>
                <c:pt idx="82">
                  <c:v>209858,5014</c:v>
                </c:pt>
                <c:pt idx="83">
                  <c:v>210222,1277</c:v>
                </c:pt>
                <c:pt idx="84">
                  <c:v>210585,7539</c:v>
                </c:pt>
                <c:pt idx="85">
                  <c:v>210949,3802</c:v>
                </c:pt>
                <c:pt idx="86">
                  <c:v>211313,0064</c:v>
                </c:pt>
                <c:pt idx="87">
                  <c:v>211676,6327</c:v>
                </c:pt>
                <c:pt idx="88">
                  <c:v>212040,259</c:v>
                </c:pt>
                <c:pt idx="89">
                  <c:v>212403,8852</c:v>
                </c:pt>
                <c:pt idx="90">
                  <c:v>212767,5115</c:v>
                </c:pt>
                <c:pt idx="91">
                  <c:v>213131,1377</c:v>
                </c:pt>
                <c:pt idx="92">
                  <c:v>213494,764</c:v>
                </c:pt>
                <c:pt idx="93">
                  <c:v>213858,3903</c:v>
                </c:pt>
                <c:pt idx="94">
                  <c:v>214222,0165</c:v>
                </c:pt>
                <c:pt idx="95">
                  <c:v>214585,6428</c:v>
                </c:pt>
                <c:pt idx="96">
                  <c:v>214949,2691</c:v>
                </c:pt>
                <c:pt idx="97">
                  <c:v>215312,8953</c:v>
                </c:pt>
                <c:pt idx="98">
                  <c:v>215676,5216</c:v>
                </c:pt>
                <c:pt idx="99">
                  <c:v>216040,1478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Sheet1!$V$2:$V$101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A0-4078-96A0-7E42D76DA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860335"/>
        <c:axId val="307100959"/>
      </c:scatterChart>
      <c:valAx>
        <c:axId val="306860335"/>
        <c:scaling>
          <c:orientation val="minMax"/>
          <c:min val="1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100959"/>
        <c:crosses val="autoZero"/>
        <c:crossBetween val="midCat"/>
      </c:valAx>
      <c:valAx>
        <c:axId val="3071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86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lors de la charge et de la décharge en fonction du temps d'acquisition 4</a:t>
            </a:r>
            <a:endParaRPr lang="fr-FR" sz="1400">
              <a:effectLst/>
            </a:endParaRPr>
          </a:p>
        </c:rich>
      </c:tx>
      <c:layout>
        <c:manualLayout>
          <c:xMode val="edge"/>
          <c:yMode val="edge"/>
          <c:x val="0.10518155048884711"/>
          <c:y val="1.7543859649122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Sheet1!$Z$2:$Z$101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3-46B9-8941-A9AE9A63C8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Sheet1!$AD$2:$AD$101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63-46B9-8941-A9AE9A63C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05167"/>
        <c:axId val="318645567"/>
      </c:scatterChart>
      <c:valAx>
        <c:axId val="318305167"/>
        <c:scaling>
          <c:orientation val="minMax"/>
          <c:min val="21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8645567"/>
        <c:crosses val="autoZero"/>
        <c:crossBetween val="midCat"/>
      </c:valAx>
      <c:valAx>
        <c:axId val="3186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830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lors de la charge et de la décharge en fonction du temps d'acquisition 5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B-4C4C-8960-0FB72D81861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Sheet1!$AL$2:$AL$101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1B-4C4C-8960-0FB72D81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375231"/>
        <c:axId val="403237791"/>
      </c:scatterChart>
      <c:valAx>
        <c:axId val="307375231"/>
        <c:scaling>
          <c:orientation val="minMax"/>
          <c:min val="28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3237791"/>
        <c:crosses val="autoZero"/>
        <c:crossBetween val="midCat"/>
      </c:valAx>
      <c:valAx>
        <c:axId val="4032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7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la tension lors de la charge et de la décharge en fonction du temps d'acquisition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F-4518-B005-3281DB72A6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BF-4518-B005-3281DB72A65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Sheet1!$J$2:$J$101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BF-4518-B005-3281DB72A65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Sheet1!$N$2:$N$101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BF-4518-B005-3281DB72A65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Sheet1!$R$2:$R$101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BF-4518-B005-3281DB72A65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Sheet1!$V$2:$V$101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BF-4518-B005-3281DB72A651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Sheet1!$Z$2:$Z$101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BF-4518-B005-3281DB72A651}"/>
            </c:ext>
          </c:extLst>
        </c:ser>
        <c:ser>
          <c:idx val="7"/>
          <c:order val="7"/>
          <c:tx>
            <c:strRef>
              <c:f>Sheet1!$AD$2:$AD$101</c:f>
              <c:strCache>
                <c:ptCount val="100"/>
                <c:pt idx="0">
                  <c:v>252049,974</c:v>
                </c:pt>
                <c:pt idx="1">
                  <c:v>252413,6002</c:v>
                </c:pt>
                <c:pt idx="2">
                  <c:v>252777,2265</c:v>
                </c:pt>
                <c:pt idx="3">
                  <c:v>253140,8528</c:v>
                </c:pt>
                <c:pt idx="4">
                  <c:v>253504,479</c:v>
                </c:pt>
                <c:pt idx="5">
                  <c:v>253868,1053</c:v>
                </c:pt>
                <c:pt idx="6">
                  <c:v>254231,7315</c:v>
                </c:pt>
                <c:pt idx="7">
                  <c:v>254595,3578</c:v>
                </c:pt>
                <c:pt idx="8">
                  <c:v>254958,9841</c:v>
                </c:pt>
                <c:pt idx="9">
                  <c:v>255322,6103</c:v>
                </c:pt>
                <c:pt idx="10">
                  <c:v>255686,2366</c:v>
                </c:pt>
                <c:pt idx="11">
                  <c:v>256049,8628</c:v>
                </c:pt>
                <c:pt idx="12">
                  <c:v>256413,4891</c:v>
                </c:pt>
                <c:pt idx="13">
                  <c:v>256777,1154</c:v>
                </c:pt>
                <c:pt idx="14">
                  <c:v>257140,7416</c:v>
                </c:pt>
                <c:pt idx="15">
                  <c:v>257504,3679</c:v>
                </c:pt>
                <c:pt idx="16">
                  <c:v>257867,9942</c:v>
                </c:pt>
                <c:pt idx="17">
                  <c:v>258231,6204</c:v>
                </c:pt>
                <c:pt idx="18">
                  <c:v>258595,2467</c:v>
                </c:pt>
                <c:pt idx="19">
                  <c:v>258958,8729</c:v>
                </c:pt>
                <c:pt idx="20">
                  <c:v>259322,4992</c:v>
                </c:pt>
                <c:pt idx="21">
                  <c:v>259686,1255</c:v>
                </c:pt>
                <c:pt idx="22">
                  <c:v>260049,7517</c:v>
                </c:pt>
                <c:pt idx="23">
                  <c:v>260413,378</c:v>
                </c:pt>
                <c:pt idx="24">
                  <c:v>260777,0042</c:v>
                </c:pt>
                <c:pt idx="25">
                  <c:v>261140,6305</c:v>
                </c:pt>
                <c:pt idx="26">
                  <c:v>261504,2568</c:v>
                </c:pt>
                <c:pt idx="27">
                  <c:v>261867,883</c:v>
                </c:pt>
                <c:pt idx="28">
                  <c:v>262231,5093</c:v>
                </c:pt>
                <c:pt idx="29">
                  <c:v>262595,1356</c:v>
                </c:pt>
                <c:pt idx="30">
                  <c:v>262958,7618</c:v>
                </c:pt>
                <c:pt idx="31">
                  <c:v>263322,3881</c:v>
                </c:pt>
                <c:pt idx="32">
                  <c:v>263686,0143</c:v>
                </c:pt>
                <c:pt idx="33">
                  <c:v>264049,6406</c:v>
                </c:pt>
                <c:pt idx="34">
                  <c:v>264413,2669</c:v>
                </c:pt>
                <c:pt idx="35">
                  <c:v>264776,8931</c:v>
                </c:pt>
                <c:pt idx="36">
                  <c:v>265140,5194</c:v>
                </c:pt>
                <c:pt idx="37">
                  <c:v>265504,1457</c:v>
                </c:pt>
                <c:pt idx="38">
                  <c:v>265867,7719</c:v>
                </c:pt>
                <c:pt idx="39">
                  <c:v>266231,3982</c:v>
                </c:pt>
                <c:pt idx="40">
                  <c:v>266595,0244</c:v>
                </c:pt>
                <c:pt idx="41">
                  <c:v>266958,6507</c:v>
                </c:pt>
                <c:pt idx="42">
                  <c:v>267322,277</c:v>
                </c:pt>
                <c:pt idx="43">
                  <c:v>267685,9032</c:v>
                </c:pt>
                <c:pt idx="44">
                  <c:v>268049,5295</c:v>
                </c:pt>
                <c:pt idx="45">
                  <c:v>268413,1557</c:v>
                </c:pt>
                <c:pt idx="46">
                  <c:v>268776,782</c:v>
                </c:pt>
                <c:pt idx="47">
                  <c:v>269140,4083</c:v>
                </c:pt>
                <c:pt idx="48">
                  <c:v>269504,0345</c:v>
                </c:pt>
                <c:pt idx="49">
                  <c:v>269867,6608</c:v>
                </c:pt>
                <c:pt idx="50">
                  <c:v>270231,2871</c:v>
                </c:pt>
                <c:pt idx="51">
                  <c:v>270594,9133</c:v>
                </c:pt>
                <c:pt idx="52">
                  <c:v>270958,5396</c:v>
                </c:pt>
                <c:pt idx="53">
                  <c:v>271322,1658</c:v>
                </c:pt>
                <c:pt idx="54">
                  <c:v>271685,7921</c:v>
                </c:pt>
                <c:pt idx="55">
                  <c:v>272049,4184</c:v>
                </c:pt>
                <c:pt idx="56">
                  <c:v>272413,0446</c:v>
                </c:pt>
                <c:pt idx="57">
                  <c:v>272776,6709</c:v>
                </c:pt>
                <c:pt idx="58">
                  <c:v>273140,2971</c:v>
                </c:pt>
                <c:pt idx="59">
                  <c:v>273503,9234</c:v>
                </c:pt>
                <c:pt idx="60">
                  <c:v>273867,5497</c:v>
                </c:pt>
                <c:pt idx="61">
                  <c:v>274231,1759</c:v>
                </c:pt>
                <c:pt idx="62">
                  <c:v>274594,8022</c:v>
                </c:pt>
                <c:pt idx="63">
                  <c:v>274958,4285</c:v>
                </c:pt>
                <c:pt idx="64">
                  <c:v>275322,0547</c:v>
                </c:pt>
                <c:pt idx="65">
                  <c:v>275685,681</c:v>
                </c:pt>
                <c:pt idx="66">
                  <c:v>276049,3072</c:v>
                </c:pt>
                <c:pt idx="67">
                  <c:v>276412,9335</c:v>
                </c:pt>
                <c:pt idx="68">
                  <c:v>276776,5598</c:v>
                </c:pt>
                <c:pt idx="69">
                  <c:v>277140,186</c:v>
                </c:pt>
                <c:pt idx="70">
                  <c:v>277503,8123</c:v>
                </c:pt>
                <c:pt idx="71">
                  <c:v>277867,4385</c:v>
                </c:pt>
                <c:pt idx="72">
                  <c:v>278231,0648</c:v>
                </c:pt>
                <c:pt idx="73">
                  <c:v>278594,6911</c:v>
                </c:pt>
                <c:pt idx="74">
                  <c:v>278958,3173</c:v>
                </c:pt>
                <c:pt idx="75">
                  <c:v>279321,9436</c:v>
                </c:pt>
                <c:pt idx="76">
                  <c:v>279685,5699</c:v>
                </c:pt>
                <c:pt idx="77">
                  <c:v>280049,1961</c:v>
                </c:pt>
                <c:pt idx="78">
                  <c:v>280412,8224</c:v>
                </c:pt>
                <c:pt idx="79">
                  <c:v>280776,4486</c:v>
                </c:pt>
                <c:pt idx="80">
                  <c:v>281140,0749</c:v>
                </c:pt>
                <c:pt idx="81">
                  <c:v>281503,7012</c:v>
                </c:pt>
                <c:pt idx="82">
                  <c:v>281867,3274</c:v>
                </c:pt>
                <c:pt idx="83">
                  <c:v>282230,9537</c:v>
                </c:pt>
                <c:pt idx="84">
                  <c:v>282594,58</c:v>
                </c:pt>
                <c:pt idx="85">
                  <c:v>282958,2062</c:v>
                </c:pt>
                <c:pt idx="86">
                  <c:v>283321,8325</c:v>
                </c:pt>
                <c:pt idx="87">
                  <c:v>283685,4587</c:v>
                </c:pt>
                <c:pt idx="88">
                  <c:v>284049,085</c:v>
                </c:pt>
                <c:pt idx="89">
                  <c:v>284412,7113</c:v>
                </c:pt>
                <c:pt idx="90">
                  <c:v>284776,3375</c:v>
                </c:pt>
                <c:pt idx="91">
                  <c:v>285139,9638</c:v>
                </c:pt>
                <c:pt idx="92">
                  <c:v>285503,59</c:v>
                </c:pt>
                <c:pt idx="93">
                  <c:v>285867,2163</c:v>
                </c:pt>
                <c:pt idx="94">
                  <c:v>286230,8426</c:v>
                </c:pt>
                <c:pt idx="95">
                  <c:v>286594,4688</c:v>
                </c:pt>
                <c:pt idx="96">
                  <c:v>286958,0951</c:v>
                </c:pt>
                <c:pt idx="97">
                  <c:v>287321,7214</c:v>
                </c:pt>
                <c:pt idx="98">
                  <c:v>287685,3476</c:v>
                </c:pt>
                <c:pt idx="99">
                  <c:v>288048,9739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Sheet1!$AD$2:$AD$101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BF-4518-B005-3281DB72A651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BF-4518-B005-3281DB72A651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Sheet1!$AL$2:$AL$101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BF-4518-B005-3281DB72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89055"/>
        <c:axId val="412682927"/>
      </c:scatterChart>
      <c:valAx>
        <c:axId val="41568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d'acquisition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2682927"/>
        <c:crosses val="autoZero"/>
        <c:crossBetween val="midCat"/>
      </c:valAx>
      <c:valAx>
        <c:axId val="4126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</a:t>
                </a:r>
                <a:r>
                  <a:rPr lang="fr-FR" baseline="0"/>
                  <a:t> ( V 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68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la capacité en fonction de la tension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1845708063712697E-2"/>
          <c:y val="0.10760869801369172"/>
          <c:w val="0.924220318145621"/>
          <c:h val="0.821939795423498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Sheet1!$D$2:$D$101</c:f>
              <c:numCache>
                <c:formatCode>General</c:formatCode>
                <c:ptCount val="100"/>
                <c:pt idx="0">
                  <c:v>6.6948832099456013E-5</c:v>
                </c:pt>
                <c:pt idx="1">
                  <c:v>363.62632865702705</c:v>
                </c:pt>
                <c:pt idx="2">
                  <c:v>727.25259036522107</c:v>
                </c:pt>
                <c:pt idx="3">
                  <c:v>1090.8788520734199</c:v>
                </c:pt>
                <c:pt idx="4">
                  <c:v>1454.5051137816101</c:v>
                </c:pt>
                <c:pt idx="5">
                  <c:v>1818.1313754898101</c:v>
                </c:pt>
                <c:pt idx="6">
                  <c:v>2181.7576371979999</c:v>
                </c:pt>
                <c:pt idx="7">
                  <c:v>2545.3838989061901</c:v>
                </c:pt>
                <c:pt idx="8">
                  <c:v>2909.0101606143899</c:v>
                </c:pt>
                <c:pt idx="9">
                  <c:v>3272.6364223225801</c:v>
                </c:pt>
                <c:pt idx="10">
                  <c:v>3636.2626840307798</c:v>
                </c:pt>
                <c:pt idx="11">
                  <c:v>3999.8889457389701</c:v>
                </c:pt>
                <c:pt idx="12">
                  <c:v>4363.5152074471698</c:v>
                </c:pt>
                <c:pt idx="13">
                  <c:v>4727.1414691553591</c:v>
                </c:pt>
                <c:pt idx="14">
                  <c:v>5090.7677308635593</c:v>
                </c:pt>
                <c:pt idx="15">
                  <c:v>5454.3939925717495</c:v>
                </c:pt>
                <c:pt idx="16">
                  <c:v>5818.0202542799498</c:v>
                </c:pt>
                <c:pt idx="17">
                  <c:v>6181.64651598814</c:v>
                </c:pt>
                <c:pt idx="18">
                  <c:v>6545.2727776963393</c:v>
                </c:pt>
                <c:pt idx="19">
                  <c:v>6908.8990394045295</c:v>
                </c:pt>
                <c:pt idx="20">
                  <c:v>7272.5253011127297</c:v>
                </c:pt>
                <c:pt idx="21">
                  <c:v>7636.1515628209199</c:v>
                </c:pt>
                <c:pt idx="22">
                  <c:v>7999.7778245291092</c:v>
                </c:pt>
                <c:pt idx="23">
                  <c:v>8363.4040862373095</c:v>
                </c:pt>
                <c:pt idx="24">
                  <c:v>8727.0303479454997</c:v>
                </c:pt>
                <c:pt idx="25">
                  <c:v>9090.656609653699</c:v>
                </c:pt>
                <c:pt idx="26">
                  <c:v>9454.2828713618892</c:v>
                </c:pt>
                <c:pt idx="27">
                  <c:v>9817.9091330700903</c:v>
                </c:pt>
                <c:pt idx="28">
                  <c:v>10181.535394778299</c:v>
                </c:pt>
                <c:pt idx="29">
                  <c:v>10545.1616564865</c:v>
                </c:pt>
                <c:pt idx="30">
                  <c:v>10908.787918194699</c:v>
                </c:pt>
                <c:pt idx="31">
                  <c:v>11272.4141799029</c:v>
                </c:pt>
                <c:pt idx="32">
                  <c:v>11636.0404416111</c:v>
                </c:pt>
                <c:pt idx="33">
                  <c:v>11999.666703319299</c:v>
                </c:pt>
                <c:pt idx="34">
                  <c:v>12363.2929650275</c:v>
                </c:pt>
                <c:pt idx="35">
                  <c:v>12726.919226735599</c:v>
                </c:pt>
                <c:pt idx="36">
                  <c:v>13090.5454884438</c:v>
                </c:pt>
                <c:pt idx="37">
                  <c:v>13454.171750152</c:v>
                </c:pt>
                <c:pt idx="38">
                  <c:v>13817.798011860199</c:v>
                </c:pt>
                <c:pt idx="39">
                  <c:v>14181.4242735684</c:v>
                </c:pt>
                <c:pt idx="40">
                  <c:v>14545.050535276599</c:v>
                </c:pt>
                <c:pt idx="41">
                  <c:v>14908.676796984799</c:v>
                </c:pt>
                <c:pt idx="42">
                  <c:v>15272.303058693</c:v>
                </c:pt>
                <c:pt idx="43">
                  <c:v>15635.929320401199</c:v>
                </c:pt>
                <c:pt idx="44">
                  <c:v>15999.5555821094</c:v>
                </c:pt>
                <c:pt idx="45">
                  <c:v>16363.1818438176</c:v>
                </c:pt>
                <c:pt idx="46">
                  <c:v>16726.808105525801</c:v>
                </c:pt>
                <c:pt idx="47">
                  <c:v>17090.434367234</c:v>
                </c:pt>
                <c:pt idx="48">
                  <c:v>17454.060628942199</c:v>
                </c:pt>
                <c:pt idx="49">
                  <c:v>17817.686890650399</c:v>
                </c:pt>
                <c:pt idx="50">
                  <c:v>18181.313152358598</c:v>
                </c:pt>
                <c:pt idx="51">
                  <c:v>18544.939414066801</c:v>
                </c:pt>
                <c:pt idx="52">
                  <c:v>18908.565675775</c:v>
                </c:pt>
                <c:pt idx="53">
                  <c:v>19272.1919374832</c:v>
                </c:pt>
                <c:pt idx="54">
                  <c:v>19635.818199191301</c:v>
                </c:pt>
                <c:pt idx="55">
                  <c:v>19999.4444608995</c:v>
                </c:pt>
                <c:pt idx="56">
                  <c:v>20363.070722607699</c:v>
                </c:pt>
                <c:pt idx="57">
                  <c:v>20726.696984315899</c:v>
                </c:pt>
                <c:pt idx="58">
                  <c:v>21090.323246024098</c:v>
                </c:pt>
                <c:pt idx="59">
                  <c:v>21453.949507732301</c:v>
                </c:pt>
                <c:pt idx="60">
                  <c:v>21817.5757694405</c:v>
                </c:pt>
                <c:pt idx="61">
                  <c:v>22181.202031148699</c:v>
                </c:pt>
                <c:pt idx="62">
                  <c:v>22544.828292856899</c:v>
                </c:pt>
                <c:pt idx="63">
                  <c:v>22908.454554565098</c:v>
                </c:pt>
                <c:pt idx="64">
                  <c:v>23272.080816273301</c:v>
                </c:pt>
                <c:pt idx="65">
                  <c:v>23635.7070779815</c:v>
                </c:pt>
                <c:pt idx="66">
                  <c:v>23999.3333396897</c:v>
                </c:pt>
                <c:pt idx="67">
                  <c:v>24362.959601397899</c:v>
                </c:pt>
                <c:pt idx="68">
                  <c:v>24726.585863106098</c:v>
                </c:pt>
                <c:pt idx="69">
                  <c:v>25090.212124814301</c:v>
                </c:pt>
                <c:pt idx="70">
                  <c:v>25453.838386522501</c:v>
                </c:pt>
                <c:pt idx="71">
                  <c:v>25817.4646482307</c:v>
                </c:pt>
                <c:pt idx="72">
                  <c:v>26181.090909938899</c:v>
                </c:pt>
                <c:pt idx="73">
                  <c:v>26544.717171647</c:v>
                </c:pt>
                <c:pt idx="74">
                  <c:v>26908.3434333552</c:v>
                </c:pt>
                <c:pt idx="75">
                  <c:v>27271.969695063399</c:v>
                </c:pt>
                <c:pt idx="76">
                  <c:v>27635.595956771598</c:v>
                </c:pt>
                <c:pt idx="77">
                  <c:v>27999.222218479801</c:v>
                </c:pt>
                <c:pt idx="78">
                  <c:v>28362.848480188</c:v>
                </c:pt>
                <c:pt idx="79">
                  <c:v>28726.4747418962</c:v>
                </c:pt>
                <c:pt idx="80">
                  <c:v>29090.101003604399</c:v>
                </c:pt>
                <c:pt idx="81">
                  <c:v>29453.727265312598</c:v>
                </c:pt>
                <c:pt idx="82">
                  <c:v>29817.353527020801</c:v>
                </c:pt>
                <c:pt idx="83">
                  <c:v>30180.979788729001</c:v>
                </c:pt>
                <c:pt idx="84">
                  <c:v>30544.6060504372</c:v>
                </c:pt>
                <c:pt idx="85">
                  <c:v>30908.232312145399</c:v>
                </c:pt>
                <c:pt idx="86">
                  <c:v>31271.858573853599</c:v>
                </c:pt>
                <c:pt idx="87">
                  <c:v>31635.484835561798</c:v>
                </c:pt>
                <c:pt idx="88">
                  <c:v>31999.111097270001</c:v>
                </c:pt>
                <c:pt idx="89">
                  <c:v>32362.7373589782</c:v>
                </c:pt>
                <c:pt idx="90">
                  <c:v>32726.363620686399</c:v>
                </c:pt>
                <c:pt idx="91">
                  <c:v>33089.989882394497</c:v>
                </c:pt>
                <c:pt idx="92">
                  <c:v>33453.6161441027</c:v>
                </c:pt>
                <c:pt idx="93">
                  <c:v>33817.242405810903</c:v>
                </c:pt>
                <c:pt idx="94">
                  <c:v>34180.868667519098</c:v>
                </c:pt>
                <c:pt idx="95">
                  <c:v>34544.494929227301</c:v>
                </c:pt>
                <c:pt idx="96">
                  <c:v>34908.121190935497</c:v>
                </c:pt>
                <c:pt idx="97">
                  <c:v>35271.7474526437</c:v>
                </c:pt>
                <c:pt idx="98">
                  <c:v>35635.373714351903</c:v>
                </c:pt>
                <c:pt idx="99">
                  <c:v>35998.999976060099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1-4FD4-9E94-1D4DB23206B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35998.038110011898</c:v>
                </c:pt>
                <c:pt idx="1">
                  <c:v>35634.411848303702</c:v>
                </c:pt>
                <c:pt idx="2">
                  <c:v>35270.785586595499</c:v>
                </c:pt>
                <c:pt idx="3">
                  <c:v>34907.159324887296</c:v>
                </c:pt>
                <c:pt idx="4">
                  <c:v>34543.5330631791</c:v>
                </c:pt>
                <c:pt idx="5">
                  <c:v>34179.906801470897</c:v>
                </c:pt>
                <c:pt idx="6">
                  <c:v>33816.280539762702</c:v>
                </c:pt>
                <c:pt idx="7">
                  <c:v>33452.654278054499</c:v>
                </c:pt>
                <c:pt idx="8">
                  <c:v>33089.028016346296</c:v>
                </c:pt>
                <c:pt idx="9">
                  <c:v>32725.4017546381</c:v>
                </c:pt>
                <c:pt idx="10">
                  <c:v>32361.775492929897</c:v>
                </c:pt>
                <c:pt idx="11">
                  <c:v>31998.149231221796</c:v>
                </c:pt>
                <c:pt idx="12">
                  <c:v>31634.5229695136</c:v>
                </c:pt>
                <c:pt idx="13">
                  <c:v>31270.896707805397</c:v>
                </c:pt>
                <c:pt idx="14">
                  <c:v>30907.270446097202</c:v>
                </c:pt>
                <c:pt idx="15">
                  <c:v>30543.644184388999</c:v>
                </c:pt>
                <c:pt idx="16">
                  <c:v>30180.017922680796</c:v>
                </c:pt>
                <c:pt idx="17">
                  <c:v>29816.3916609726</c:v>
                </c:pt>
                <c:pt idx="18">
                  <c:v>29452.765399264397</c:v>
                </c:pt>
                <c:pt idx="19">
                  <c:v>29089.139137556202</c:v>
                </c:pt>
                <c:pt idx="20">
                  <c:v>28725.512875847999</c:v>
                </c:pt>
                <c:pt idx="21">
                  <c:v>28361.886614139796</c:v>
                </c:pt>
                <c:pt idx="22">
                  <c:v>27998.2603524316</c:v>
                </c:pt>
                <c:pt idx="23">
                  <c:v>27634.634090723397</c:v>
                </c:pt>
                <c:pt idx="24">
                  <c:v>27271.007829015201</c:v>
                </c:pt>
                <c:pt idx="25">
                  <c:v>26907.381567306998</c:v>
                </c:pt>
                <c:pt idx="26">
                  <c:v>26543.755305598796</c:v>
                </c:pt>
                <c:pt idx="27">
                  <c:v>26180.1290438906</c:v>
                </c:pt>
                <c:pt idx="28">
                  <c:v>25816.502782182397</c:v>
                </c:pt>
                <c:pt idx="29">
                  <c:v>25452.876520474201</c:v>
                </c:pt>
                <c:pt idx="30">
                  <c:v>25089.250258765998</c:v>
                </c:pt>
                <c:pt idx="31">
                  <c:v>24725.623997057897</c:v>
                </c:pt>
                <c:pt idx="32">
                  <c:v>24361.997735349702</c:v>
                </c:pt>
                <c:pt idx="33">
                  <c:v>23998.371473641499</c:v>
                </c:pt>
                <c:pt idx="34">
                  <c:v>23634.745211933296</c:v>
                </c:pt>
                <c:pt idx="35">
                  <c:v>23271.1189502251</c:v>
                </c:pt>
                <c:pt idx="36">
                  <c:v>22907.492688516897</c:v>
                </c:pt>
                <c:pt idx="37">
                  <c:v>22543.866426808701</c:v>
                </c:pt>
                <c:pt idx="38">
                  <c:v>22180.240165100498</c:v>
                </c:pt>
                <c:pt idx="39">
                  <c:v>21816.613903392295</c:v>
                </c:pt>
                <c:pt idx="40">
                  <c:v>21452.9876416841</c:v>
                </c:pt>
                <c:pt idx="41">
                  <c:v>21089.361379975897</c:v>
                </c:pt>
                <c:pt idx="42">
                  <c:v>20725.735118267701</c:v>
                </c:pt>
                <c:pt idx="43">
                  <c:v>20362.108856559498</c:v>
                </c:pt>
                <c:pt idx="44">
                  <c:v>19998.482594851295</c:v>
                </c:pt>
                <c:pt idx="45">
                  <c:v>19634.8563331431</c:v>
                </c:pt>
                <c:pt idx="46">
                  <c:v>19271.230071434897</c:v>
                </c:pt>
                <c:pt idx="47">
                  <c:v>18907.603809726701</c:v>
                </c:pt>
                <c:pt idx="48">
                  <c:v>18543.977548018498</c:v>
                </c:pt>
                <c:pt idx="49">
                  <c:v>18180.351286310295</c:v>
                </c:pt>
                <c:pt idx="50">
                  <c:v>17816.725024602099</c:v>
                </c:pt>
                <c:pt idx="51">
                  <c:v>17453.098762893998</c:v>
                </c:pt>
                <c:pt idx="52">
                  <c:v>17089.472501185795</c:v>
                </c:pt>
                <c:pt idx="53">
                  <c:v>16725.8462394776</c:v>
                </c:pt>
                <c:pt idx="54">
                  <c:v>16362.219977769397</c:v>
                </c:pt>
                <c:pt idx="55">
                  <c:v>15998.593716061201</c:v>
                </c:pt>
                <c:pt idx="56">
                  <c:v>15634.967454352998</c:v>
                </c:pt>
                <c:pt idx="57">
                  <c:v>15271.341192644795</c:v>
                </c:pt>
                <c:pt idx="58">
                  <c:v>14907.7149309366</c:v>
                </c:pt>
                <c:pt idx="59">
                  <c:v>14544.088669228397</c:v>
                </c:pt>
                <c:pt idx="60">
                  <c:v>14180.462407520201</c:v>
                </c:pt>
                <c:pt idx="61">
                  <c:v>13816.836145811998</c:v>
                </c:pt>
                <c:pt idx="62">
                  <c:v>13453.209884103795</c:v>
                </c:pt>
                <c:pt idx="63">
                  <c:v>13089.583622395599</c:v>
                </c:pt>
                <c:pt idx="64">
                  <c:v>12725.957360687396</c:v>
                </c:pt>
                <c:pt idx="65">
                  <c:v>12362.331098979201</c:v>
                </c:pt>
                <c:pt idx="66">
                  <c:v>11998.704837270998</c:v>
                </c:pt>
                <c:pt idx="67">
                  <c:v>11635.078575562802</c:v>
                </c:pt>
                <c:pt idx="68">
                  <c:v>11271.452313854599</c:v>
                </c:pt>
                <c:pt idx="69">
                  <c:v>10907.826052146396</c:v>
                </c:pt>
                <c:pt idx="70">
                  <c:v>10544.199790438201</c:v>
                </c:pt>
                <c:pt idx="71">
                  <c:v>10180.573528730099</c:v>
                </c:pt>
                <c:pt idx="72">
                  <c:v>9816.9472670218966</c:v>
                </c:pt>
                <c:pt idx="73">
                  <c:v>9453.3210053137009</c:v>
                </c:pt>
                <c:pt idx="74">
                  <c:v>9089.6947436054979</c:v>
                </c:pt>
                <c:pt idx="75">
                  <c:v>8726.068481897295</c:v>
                </c:pt>
                <c:pt idx="76">
                  <c:v>8362.4422201890993</c:v>
                </c:pt>
                <c:pt idx="77">
                  <c:v>7998.8159584808964</c:v>
                </c:pt>
                <c:pt idx="78">
                  <c:v>7635.1896967727007</c:v>
                </c:pt>
                <c:pt idx="79">
                  <c:v>7271.5634350644978</c:v>
                </c:pt>
                <c:pt idx="80">
                  <c:v>6907.9371733563021</c:v>
                </c:pt>
                <c:pt idx="81">
                  <c:v>6544.3109116480991</c:v>
                </c:pt>
                <c:pt idx="82">
                  <c:v>6180.6846499399035</c:v>
                </c:pt>
                <c:pt idx="83">
                  <c:v>5817.0583882316932</c:v>
                </c:pt>
                <c:pt idx="84">
                  <c:v>5453.4321265234976</c:v>
                </c:pt>
                <c:pt idx="85">
                  <c:v>5089.8058648153019</c:v>
                </c:pt>
                <c:pt idx="86">
                  <c:v>4726.1796031070917</c:v>
                </c:pt>
                <c:pt idx="87">
                  <c:v>4362.553341398896</c:v>
                </c:pt>
                <c:pt idx="88">
                  <c:v>3998.9270796907003</c:v>
                </c:pt>
                <c:pt idx="89">
                  <c:v>3635.3008179825047</c:v>
                </c:pt>
                <c:pt idx="90">
                  <c:v>3271.6745562742944</c:v>
                </c:pt>
                <c:pt idx="91">
                  <c:v>2908.0482945662006</c:v>
                </c:pt>
                <c:pt idx="92">
                  <c:v>2544.422032858005</c:v>
                </c:pt>
                <c:pt idx="93">
                  <c:v>2180.7957711497947</c:v>
                </c:pt>
                <c:pt idx="94">
                  <c:v>1817.1695094415991</c:v>
                </c:pt>
                <c:pt idx="95">
                  <c:v>1453.5432477334034</c:v>
                </c:pt>
                <c:pt idx="96">
                  <c:v>1089.9169860251932</c:v>
                </c:pt>
                <c:pt idx="97">
                  <c:v>726.29072431699751</c:v>
                </c:pt>
                <c:pt idx="98">
                  <c:v>362.66446260880184</c:v>
                </c:pt>
                <c:pt idx="99">
                  <c:v>-0.96179909940838115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01-4FD4-9E94-1D4DB23206B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Sheet1!$L$2:$L$101</c:f>
              <c:numCache>
                <c:formatCode>General</c:formatCode>
                <c:ptCount val="100"/>
                <c:pt idx="0">
                  <c:v>-0.95620095510821557</c:v>
                </c:pt>
                <c:pt idx="1">
                  <c:v>362.67006075308745</c:v>
                </c:pt>
                <c:pt idx="2">
                  <c:v>726.29632246128313</c:v>
                </c:pt>
                <c:pt idx="3">
                  <c:v>1089.9225841694933</c:v>
                </c:pt>
                <c:pt idx="4">
                  <c:v>1453.548845877689</c:v>
                </c:pt>
                <c:pt idx="5">
                  <c:v>1817.1751075858847</c:v>
                </c:pt>
                <c:pt idx="6">
                  <c:v>2180.8013692940804</c:v>
                </c:pt>
                <c:pt idx="7">
                  <c:v>2544.4276310022906</c:v>
                </c:pt>
                <c:pt idx="8">
                  <c:v>2908.0538927104863</c:v>
                </c:pt>
                <c:pt idx="9">
                  <c:v>3271.6801544186819</c:v>
                </c:pt>
                <c:pt idx="10">
                  <c:v>3635.3064161268921</c:v>
                </c:pt>
                <c:pt idx="11">
                  <c:v>3998.9326778350878</c:v>
                </c:pt>
                <c:pt idx="12">
                  <c:v>4362.5589395432835</c:v>
                </c:pt>
                <c:pt idx="13">
                  <c:v>4726.1852012514792</c:v>
                </c:pt>
                <c:pt idx="14">
                  <c:v>5089.8114629596894</c:v>
                </c:pt>
                <c:pt idx="15">
                  <c:v>5453.437724667885</c:v>
                </c:pt>
                <c:pt idx="16">
                  <c:v>5817.0639863760807</c:v>
                </c:pt>
                <c:pt idx="17">
                  <c:v>6180.6902480842909</c:v>
                </c:pt>
                <c:pt idx="18">
                  <c:v>6544.3165097924866</c:v>
                </c:pt>
                <c:pt idx="19">
                  <c:v>6907.9427715006823</c:v>
                </c:pt>
                <c:pt idx="20">
                  <c:v>7271.5690332088925</c:v>
                </c:pt>
                <c:pt idx="21">
                  <c:v>7635.1952949170882</c:v>
                </c:pt>
                <c:pt idx="22">
                  <c:v>7998.8215566252838</c:v>
                </c:pt>
                <c:pt idx="23">
                  <c:v>8362.4478183334795</c:v>
                </c:pt>
                <c:pt idx="24">
                  <c:v>8726.0740800416897</c:v>
                </c:pt>
                <c:pt idx="25">
                  <c:v>9089.7003417498854</c:v>
                </c:pt>
                <c:pt idx="26">
                  <c:v>9453.3266034580811</c:v>
                </c:pt>
                <c:pt idx="27">
                  <c:v>9816.9528651662913</c:v>
                </c:pt>
                <c:pt idx="28">
                  <c:v>10180.579126874487</c:v>
                </c:pt>
                <c:pt idx="29">
                  <c:v>10544.205388582683</c:v>
                </c:pt>
                <c:pt idx="30">
                  <c:v>10907.831650290893</c:v>
                </c:pt>
                <c:pt idx="31">
                  <c:v>11271.457911999089</c:v>
                </c:pt>
                <c:pt idx="32">
                  <c:v>11635.084173707284</c:v>
                </c:pt>
                <c:pt idx="33">
                  <c:v>11998.71043541548</c:v>
                </c:pt>
                <c:pt idx="34">
                  <c:v>12362.33669712369</c:v>
                </c:pt>
                <c:pt idx="35">
                  <c:v>12725.962958831886</c:v>
                </c:pt>
                <c:pt idx="36">
                  <c:v>13089.589220540081</c:v>
                </c:pt>
                <c:pt idx="37">
                  <c:v>13453.215482248292</c:v>
                </c:pt>
                <c:pt idx="38">
                  <c:v>13816.841743956487</c:v>
                </c:pt>
                <c:pt idx="39">
                  <c:v>14180.468005664683</c:v>
                </c:pt>
                <c:pt idx="40">
                  <c:v>14544.094267372893</c:v>
                </c:pt>
                <c:pt idx="41">
                  <c:v>14907.720529081089</c:v>
                </c:pt>
                <c:pt idx="42">
                  <c:v>15271.346790789285</c:v>
                </c:pt>
                <c:pt idx="43">
                  <c:v>15634.97305249748</c:v>
                </c:pt>
                <c:pt idx="44">
                  <c:v>15998.59931420569</c:v>
                </c:pt>
                <c:pt idx="45">
                  <c:v>16362.225575913886</c:v>
                </c:pt>
                <c:pt idx="46">
                  <c:v>16725.851837622082</c:v>
                </c:pt>
                <c:pt idx="47">
                  <c:v>17089.478099330292</c:v>
                </c:pt>
                <c:pt idx="48">
                  <c:v>17453.104361038488</c:v>
                </c:pt>
                <c:pt idx="49">
                  <c:v>17816.730622746683</c:v>
                </c:pt>
                <c:pt idx="50">
                  <c:v>18180.356884454894</c:v>
                </c:pt>
                <c:pt idx="51">
                  <c:v>18543.983146162987</c:v>
                </c:pt>
                <c:pt idx="52">
                  <c:v>18907.609407871285</c:v>
                </c:pt>
                <c:pt idx="53">
                  <c:v>19271.235669579481</c:v>
                </c:pt>
                <c:pt idx="54">
                  <c:v>19634.861931287691</c:v>
                </c:pt>
                <c:pt idx="55">
                  <c:v>19998.488192995785</c:v>
                </c:pt>
                <c:pt idx="56">
                  <c:v>20362.11445470398</c:v>
                </c:pt>
                <c:pt idx="57">
                  <c:v>20725.740716412292</c:v>
                </c:pt>
                <c:pt idx="58">
                  <c:v>21089.366978120386</c:v>
                </c:pt>
                <c:pt idx="59">
                  <c:v>21452.993239828582</c:v>
                </c:pt>
                <c:pt idx="60">
                  <c:v>21816.619501536792</c:v>
                </c:pt>
                <c:pt idx="61">
                  <c:v>22180.245763244988</c:v>
                </c:pt>
                <c:pt idx="62">
                  <c:v>22543.872024953183</c:v>
                </c:pt>
                <c:pt idx="63">
                  <c:v>22907.498286661394</c:v>
                </c:pt>
                <c:pt idx="64">
                  <c:v>23271.124548369589</c:v>
                </c:pt>
                <c:pt idx="65">
                  <c:v>23634.750810077785</c:v>
                </c:pt>
                <c:pt idx="66">
                  <c:v>23998.377071785981</c:v>
                </c:pt>
                <c:pt idx="67">
                  <c:v>24362.003333494191</c:v>
                </c:pt>
                <c:pt idx="68">
                  <c:v>24725.629595202387</c:v>
                </c:pt>
                <c:pt idx="69">
                  <c:v>25089.255856910582</c:v>
                </c:pt>
                <c:pt idx="70">
                  <c:v>25452.882118618792</c:v>
                </c:pt>
                <c:pt idx="71">
                  <c:v>25816.508380326988</c:v>
                </c:pt>
                <c:pt idx="72">
                  <c:v>26180.134642035184</c:v>
                </c:pt>
                <c:pt idx="73">
                  <c:v>26543.760903743379</c:v>
                </c:pt>
                <c:pt idx="74">
                  <c:v>26907.38716545159</c:v>
                </c:pt>
                <c:pt idx="75">
                  <c:v>27271.013427159785</c:v>
                </c:pt>
                <c:pt idx="76">
                  <c:v>27634.639688867981</c:v>
                </c:pt>
                <c:pt idx="77">
                  <c:v>27998.265950576584</c:v>
                </c:pt>
                <c:pt idx="78">
                  <c:v>28361.892212284591</c:v>
                </c:pt>
                <c:pt idx="79">
                  <c:v>28725.518473992583</c:v>
                </c:pt>
                <c:pt idx="80">
                  <c:v>29089.144735700589</c:v>
                </c:pt>
                <c:pt idx="81">
                  <c:v>29452.770997408581</c:v>
                </c:pt>
                <c:pt idx="82">
                  <c:v>29816.397259117592</c:v>
                </c:pt>
                <c:pt idx="83">
                  <c:v>30180.023520825584</c:v>
                </c:pt>
                <c:pt idx="84">
                  <c:v>30543.64978253359</c:v>
                </c:pt>
                <c:pt idx="85">
                  <c:v>30907.276044241582</c:v>
                </c:pt>
                <c:pt idx="86">
                  <c:v>31270.902305949588</c:v>
                </c:pt>
                <c:pt idx="87">
                  <c:v>31634.528567658585</c:v>
                </c:pt>
                <c:pt idx="88">
                  <c:v>31998.154829366591</c:v>
                </c:pt>
                <c:pt idx="89">
                  <c:v>32361.781091074583</c:v>
                </c:pt>
                <c:pt idx="90">
                  <c:v>32725.407352782589</c:v>
                </c:pt>
                <c:pt idx="91">
                  <c:v>33089.033614490581</c:v>
                </c:pt>
                <c:pt idx="92">
                  <c:v>33452.659876199592</c:v>
                </c:pt>
                <c:pt idx="93">
                  <c:v>33816.286137907584</c:v>
                </c:pt>
                <c:pt idx="94">
                  <c:v>34179.91239961559</c:v>
                </c:pt>
                <c:pt idx="95">
                  <c:v>34543.538661323582</c:v>
                </c:pt>
                <c:pt idx="96">
                  <c:v>34907.164923031589</c:v>
                </c:pt>
                <c:pt idx="97">
                  <c:v>35270.791184740585</c:v>
                </c:pt>
                <c:pt idx="98">
                  <c:v>35634.417446448591</c:v>
                </c:pt>
                <c:pt idx="99">
                  <c:v>35998.043708156583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01-4FD4-9E94-1D4DB23206B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Sheet1!$P$2:$P$101</c:f>
              <c:numCache>
                <c:formatCode>General</c:formatCode>
                <c:ptCount val="100"/>
                <c:pt idx="0">
                  <c:v>35997.666802912579</c:v>
                </c:pt>
                <c:pt idx="1">
                  <c:v>35634.040541204587</c:v>
                </c:pt>
                <c:pt idx="2">
                  <c:v>35270.414279496581</c:v>
                </c:pt>
                <c:pt idx="3">
                  <c:v>34906.788017787585</c:v>
                </c:pt>
                <c:pt idx="4">
                  <c:v>34543.161756079578</c:v>
                </c:pt>
                <c:pt idx="5">
                  <c:v>34179.535494371587</c:v>
                </c:pt>
                <c:pt idx="6">
                  <c:v>33815.90923266358</c:v>
                </c:pt>
                <c:pt idx="7">
                  <c:v>33452.282970955588</c:v>
                </c:pt>
                <c:pt idx="8">
                  <c:v>33088.656709246578</c:v>
                </c:pt>
                <c:pt idx="9">
                  <c:v>32725.030447538586</c:v>
                </c:pt>
                <c:pt idx="10">
                  <c:v>32361.404185830579</c:v>
                </c:pt>
                <c:pt idx="11">
                  <c:v>31997.777924122587</c:v>
                </c:pt>
                <c:pt idx="12">
                  <c:v>31634.151662414581</c:v>
                </c:pt>
                <c:pt idx="13">
                  <c:v>31270.525400705585</c:v>
                </c:pt>
                <c:pt idx="14">
                  <c:v>30906.899138997578</c:v>
                </c:pt>
                <c:pt idx="15">
                  <c:v>30543.272877289586</c:v>
                </c:pt>
                <c:pt idx="16">
                  <c:v>30179.64661558158</c:v>
                </c:pt>
                <c:pt idx="17">
                  <c:v>29816.020353873588</c:v>
                </c:pt>
                <c:pt idx="18">
                  <c:v>29452.394092164577</c:v>
                </c:pt>
                <c:pt idx="19">
                  <c:v>29088.767830456585</c:v>
                </c:pt>
                <c:pt idx="20">
                  <c:v>28725.141568748579</c:v>
                </c:pt>
                <c:pt idx="21">
                  <c:v>28361.515307040587</c:v>
                </c:pt>
                <c:pt idx="22">
                  <c:v>27997.88904533258</c:v>
                </c:pt>
                <c:pt idx="23">
                  <c:v>27634.262783623584</c:v>
                </c:pt>
                <c:pt idx="24">
                  <c:v>27270.636521915578</c:v>
                </c:pt>
                <c:pt idx="25">
                  <c:v>26907.010260207586</c:v>
                </c:pt>
                <c:pt idx="26">
                  <c:v>26543.383998499579</c:v>
                </c:pt>
                <c:pt idx="27">
                  <c:v>26179.757736791587</c:v>
                </c:pt>
                <c:pt idx="28">
                  <c:v>25816.131475082577</c:v>
                </c:pt>
                <c:pt idx="29">
                  <c:v>25452.505213374585</c:v>
                </c:pt>
                <c:pt idx="30">
                  <c:v>25088.878951666578</c:v>
                </c:pt>
                <c:pt idx="31">
                  <c:v>24725.252689958586</c:v>
                </c:pt>
                <c:pt idx="32">
                  <c:v>24361.62642825058</c:v>
                </c:pt>
                <c:pt idx="33">
                  <c:v>23998.000166541584</c:v>
                </c:pt>
                <c:pt idx="34">
                  <c:v>23634.373904833577</c:v>
                </c:pt>
                <c:pt idx="35">
                  <c:v>23270.747643125585</c:v>
                </c:pt>
                <c:pt idx="36">
                  <c:v>22907.121381417579</c:v>
                </c:pt>
                <c:pt idx="37">
                  <c:v>22543.495119709587</c:v>
                </c:pt>
                <c:pt idx="38">
                  <c:v>22179.868858000576</c:v>
                </c:pt>
                <c:pt idx="39">
                  <c:v>21816.242596292584</c:v>
                </c:pt>
                <c:pt idx="40">
                  <c:v>21452.616334584578</c:v>
                </c:pt>
                <c:pt idx="41">
                  <c:v>21088.990072876586</c:v>
                </c:pt>
                <c:pt idx="42">
                  <c:v>20725.36381116858</c:v>
                </c:pt>
                <c:pt idx="43">
                  <c:v>20361.737549459584</c:v>
                </c:pt>
                <c:pt idx="44">
                  <c:v>19998.111287751577</c:v>
                </c:pt>
                <c:pt idx="45">
                  <c:v>19634.485026043585</c:v>
                </c:pt>
                <c:pt idx="46">
                  <c:v>19270.858764335579</c:v>
                </c:pt>
                <c:pt idx="47">
                  <c:v>18907.232502627587</c:v>
                </c:pt>
                <c:pt idx="48">
                  <c:v>18543.606240918576</c:v>
                </c:pt>
                <c:pt idx="49">
                  <c:v>18179.979979210584</c:v>
                </c:pt>
                <c:pt idx="50">
                  <c:v>17816.353717502578</c:v>
                </c:pt>
                <c:pt idx="51">
                  <c:v>17452.727455794586</c:v>
                </c:pt>
                <c:pt idx="52">
                  <c:v>17089.10119408559</c:v>
                </c:pt>
                <c:pt idx="53">
                  <c:v>16725.474932377583</c:v>
                </c:pt>
                <c:pt idx="54">
                  <c:v>16361.848670669577</c:v>
                </c:pt>
                <c:pt idx="55">
                  <c:v>15998.222408961585</c:v>
                </c:pt>
                <c:pt idx="56">
                  <c:v>15634.596147253578</c:v>
                </c:pt>
                <c:pt idx="57">
                  <c:v>15270.969885544582</c:v>
                </c:pt>
                <c:pt idx="58">
                  <c:v>14907.34362383659</c:v>
                </c:pt>
                <c:pt idx="59">
                  <c:v>14543.717362128584</c:v>
                </c:pt>
                <c:pt idx="60">
                  <c:v>14180.091100420577</c:v>
                </c:pt>
                <c:pt idx="61">
                  <c:v>13816.464838712585</c:v>
                </c:pt>
                <c:pt idx="62">
                  <c:v>13452.838577003589</c:v>
                </c:pt>
                <c:pt idx="63">
                  <c:v>13089.212315295583</c:v>
                </c:pt>
                <c:pt idx="64">
                  <c:v>12725.586053587576</c:v>
                </c:pt>
                <c:pt idx="65">
                  <c:v>12361.95979187957</c:v>
                </c:pt>
                <c:pt idx="66">
                  <c:v>11998.333530171592</c:v>
                </c:pt>
                <c:pt idx="67">
                  <c:v>11634.707268462596</c:v>
                </c:pt>
                <c:pt idx="68">
                  <c:v>11271.08100675459</c:v>
                </c:pt>
                <c:pt idx="69">
                  <c:v>10907.454745046583</c:v>
                </c:pt>
                <c:pt idx="70">
                  <c:v>10543.828483338577</c:v>
                </c:pt>
                <c:pt idx="71">
                  <c:v>10180.20222163057</c:v>
                </c:pt>
                <c:pt idx="72">
                  <c:v>9816.5759599215744</c:v>
                </c:pt>
                <c:pt idx="73">
                  <c:v>9452.949698213597</c:v>
                </c:pt>
                <c:pt idx="74">
                  <c:v>9089.3234365055905</c:v>
                </c:pt>
                <c:pt idx="75">
                  <c:v>8725.697174797584</c:v>
                </c:pt>
                <c:pt idx="76">
                  <c:v>8362.0709130895775</c:v>
                </c:pt>
                <c:pt idx="77">
                  <c:v>7998.4446513805815</c:v>
                </c:pt>
                <c:pt idx="78">
                  <c:v>7634.818389672575</c:v>
                </c:pt>
                <c:pt idx="79">
                  <c:v>7271.1921279645976</c:v>
                </c:pt>
                <c:pt idx="80">
                  <c:v>6907.5658662565911</c:v>
                </c:pt>
                <c:pt idx="81">
                  <c:v>6543.9396045485846</c:v>
                </c:pt>
                <c:pt idx="82">
                  <c:v>6180.3133428395886</c:v>
                </c:pt>
                <c:pt idx="83">
                  <c:v>5816.6870811315821</c:v>
                </c:pt>
                <c:pt idx="84">
                  <c:v>5453.0608194235756</c:v>
                </c:pt>
                <c:pt idx="85">
                  <c:v>5089.4345577155691</c:v>
                </c:pt>
                <c:pt idx="86">
                  <c:v>4725.8082960075917</c:v>
                </c:pt>
                <c:pt idx="87">
                  <c:v>4362.1820342985957</c:v>
                </c:pt>
                <c:pt idx="88">
                  <c:v>3998.5557725905892</c:v>
                </c:pt>
                <c:pt idx="89">
                  <c:v>3634.9295108825827</c:v>
                </c:pt>
                <c:pt idx="90">
                  <c:v>3271.3032491745762</c:v>
                </c:pt>
                <c:pt idx="91">
                  <c:v>2907.6769874665697</c:v>
                </c:pt>
                <c:pt idx="92">
                  <c:v>2544.0507257575737</c:v>
                </c:pt>
                <c:pt idx="93">
                  <c:v>2180.4244640495963</c:v>
                </c:pt>
                <c:pt idx="94">
                  <c:v>1816.7982023415898</c:v>
                </c:pt>
                <c:pt idx="95">
                  <c:v>1453.1719406335833</c:v>
                </c:pt>
                <c:pt idx="96">
                  <c:v>1089.5456789255768</c:v>
                </c:pt>
                <c:pt idx="97">
                  <c:v>725.91941721658077</c:v>
                </c:pt>
                <c:pt idx="98">
                  <c:v>362.29315550857427</c:v>
                </c:pt>
                <c:pt idx="99">
                  <c:v>-1.3331061994031188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01-4FD4-9E94-1D4DB23206B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Sheet1!$T$2:$T$101</c:f>
              <c:numCache>
                <c:formatCode>General</c:formatCode>
                <c:ptCount val="100"/>
                <c:pt idx="0">
                  <c:v>-1.3264818594107055</c:v>
                </c:pt>
                <c:pt idx="1">
                  <c:v>362.29977984859579</c:v>
                </c:pt>
                <c:pt idx="2">
                  <c:v>725.92604155660229</c:v>
                </c:pt>
                <c:pt idx="3">
                  <c:v>1089.5523032655983</c:v>
                </c:pt>
                <c:pt idx="4">
                  <c:v>1453.1785649736048</c:v>
                </c:pt>
                <c:pt idx="5">
                  <c:v>1816.8048266816113</c:v>
                </c:pt>
                <c:pt idx="6">
                  <c:v>2180.4310883895887</c:v>
                </c:pt>
                <c:pt idx="7">
                  <c:v>2544.0573500975952</c:v>
                </c:pt>
                <c:pt idx="8">
                  <c:v>2907.6836118065912</c:v>
                </c:pt>
                <c:pt idx="9">
                  <c:v>3271.3098735145977</c:v>
                </c:pt>
                <c:pt idx="10">
                  <c:v>3634.9361352226042</c:v>
                </c:pt>
                <c:pt idx="11">
                  <c:v>3998.5623969306107</c:v>
                </c:pt>
                <c:pt idx="12">
                  <c:v>4362.1886586385881</c:v>
                </c:pt>
                <c:pt idx="13">
                  <c:v>4725.8149203475841</c:v>
                </c:pt>
                <c:pt idx="14">
                  <c:v>5089.4411820555906</c:v>
                </c:pt>
                <c:pt idx="15">
                  <c:v>5453.0674437635971</c:v>
                </c:pt>
                <c:pt idx="16">
                  <c:v>5816.6937054716036</c:v>
                </c:pt>
                <c:pt idx="17">
                  <c:v>6180.3199671796101</c:v>
                </c:pt>
                <c:pt idx="18">
                  <c:v>6543.9462288875875</c:v>
                </c:pt>
                <c:pt idx="19">
                  <c:v>6907.5724905965835</c:v>
                </c:pt>
                <c:pt idx="20">
                  <c:v>7271.19875230459</c:v>
                </c:pt>
                <c:pt idx="21">
                  <c:v>7634.8250140125965</c:v>
                </c:pt>
                <c:pt idx="22">
                  <c:v>7998.451275720603</c:v>
                </c:pt>
                <c:pt idx="23">
                  <c:v>8362.0775374286095</c:v>
                </c:pt>
                <c:pt idx="24">
                  <c:v>8725.7037991376055</c:v>
                </c:pt>
                <c:pt idx="25">
                  <c:v>9089.3300608455829</c:v>
                </c:pt>
                <c:pt idx="26">
                  <c:v>9452.9563225535894</c:v>
                </c:pt>
                <c:pt idx="27">
                  <c:v>9816.5825842615959</c:v>
                </c:pt>
                <c:pt idx="28">
                  <c:v>10180.208845969602</c:v>
                </c:pt>
                <c:pt idx="29">
                  <c:v>10543.835107678598</c:v>
                </c:pt>
                <c:pt idx="30">
                  <c:v>10907.461369386605</c:v>
                </c:pt>
                <c:pt idx="31">
                  <c:v>11271.087631094611</c:v>
                </c:pt>
                <c:pt idx="32">
                  <c:v>11634.713892802589</c:v>
                </c:pt>
                <c:pt idx="33">
                  <c:v>11998.340154510595</c:v>
                </c:pt>
                <c:pt idx="34">
                  <c:v>12361.966416219591</c:v>
                </c:pt>
                <c:pt idx="35">
                  <c:v>12725.592677927598</c:v>
                </c:pt>
                <c:pt idx="36">
                  <c:v>13089.218939635604</c:v>
                </c:pt>
                <c:pt idx="37">
                  <c:v>13452.845201343611</c:v>
                </c:pt>
                <c:pt idx="38">
                  <c:v>13816.471463051588</c:v>
                </c:pt>
                <c:pt idx="39">
                  <c:v>14180.097724760584</c:v>
                </c:pt>
                <c:pt idx="40">
                  <c:v>14543.723986468591</c:v>
                </c:pt>
                <c:pt idx="41">
                  <c:v>14907.350248176597</c:v>
                </c:pt>
                <c:pt idx="42">
                  <c:v>15270.976509884604</c:v>
                </c:pt>
                <c:pt idx="43">
                  <c:v>15634.60277159261</c:v>
                </c:pt>
                <c:pt idx="44">
                  <c:v>15998.229033300588</c:v>
                </c:pt>
                <c:pt idx="45">
                  <c:v>16361.855295009584</c:v>
                </c:pt>
                <c:pt idx="46">
                  <c:v>16725.48155671759</c:v>
                </c:pt>
                <c:pt idx="47">
                  <c:v>17089.107818425597</c:v>
                </c:pt>
                <c:pt idx="48">
                  <c:v>17452.734080133603</c:v>
                </c:pt>
                <c:pt idx="49">
                  <c:v>17816.36034184161</c:v>
                </c:pt>
                <c:pt idx="50">
                  <c:v>18179.986603550606</c:v>
                </c:pt>
                <c:pt idx="51">
                  <c:v>18543.612865258583</c:v>
                </c:pt>
                <c:pt idx="52">
                  <c:v>18907.23912696659</c:v>
                </c:pt>
                <c:pt idx="53">
                  <c:v>19270.865388674596</c:v>
                </c:pt>
                <c:pt idx="54">
                  <c:v>19634.491650382603</c:v>
                </c:pt>
                <c:pt idx="55">
                  <c:v>19998.117912091599</c:v>
                </c:pt>
                <c:pt idx="56">
                  <c:v>20361.744173799605</c:v>
                </c:pt>
                <c:pt idx="57">
                  <c:v>20725.370435507582</c:v>
                </c:pt>
                <c:pt idx="58">
                  <c:v>21088.996697215589</c:v>
                </c:pt>
                <c:pt idx="59">
                  <c:v>21452.622958923595</c:v>
                </c:pt>
                <c:pt idx="60">
                  <c:v>21816.249220632591</c:v>
                </c:pt>
                <c:pt idx="61">
                  <c:v>22179.875482340598</c:v>
                </c:pt>
                <c:pt idx="62">
                  <c:v>22543.501744048604</c:v>
                </c:pt>
                <c:pt idx="63">
                  <c:v>22907.128005756611</c:v>
                </c:pt>
                <c:pt idx="64">
                  <c:v>23270.754267464588</c:v>
                </c:pt>
                <c:pt idx="65">
                  <c:v>23634.380529172595</c:v>
                </c:pt>
                <c:pt idx="66">
                  <c:v>23998.006790881591</c:v>
                </c:pt>
                <c:pt idx="67">
                  <c:v>24361.633052589597</c:v>
                </c:pt>
                <c:pt idx="68">
                  <c:v>24725.259314297604</c:v>
                </c:pt>
                <c:pt idx="69">
                  <c:v>25088.88557600561</c:v>
                </c:pt>
                <c:pt idx="70">
                  <c:v>25452.511837713588</c:v>
                </c:pt>
                <c:pt idx="71">
                  <c:v>25816.138099422584</c:v>
                </c:pt>
                <c:pt idx="72">
                  <c:v>26179.76436113059</c:v>
                </c:pt>
                <c:pt idx="73">
                  <c:v>26543.390622838597</c:v>
                </c:pt>
                <c:pt idx="74">
                  <c:v>26907.016884546603</c:v>
                </c:pt>
                <c:pt idx="75">
                  <c:v>27270.64314625461</c:v>
                </c:pt>
                <c:pt idx="76">
                  <c:v>27634.269407963606</c:v>
                </c:pt>
                <c:pt idx="77">
                  <c:v>27997.895669671583</c:v>
                </c:pt>
                <c:pt idx="78">
                  <c:v>28361.52193137959</c:v>
                </c:pt>
                <c:pt idx="79">
                  <c:v>28725.148193087596</c:v>
                </c:pt>
                <c:pt idx="80">
                  <c:v>29088.774454795603</c:v>
                </c:pt>
                <c:pt idx="81">
                  <c:v>29452.400716504599</c:v>
                </c:pt>
                <c:pt idx="82">
                  <c:v>29816.026978212605</c:v>
                </c:pt>
                <c:pt idx="83">
                  <c:v>30179.653239920583</c:v>
                </c:pt>
                <c:pt idx="84">
                  <c:v>30543.279501628589</c:v>
                </c:pt>
                <c:pt idx="85">
                  <c:v>30906.905763336596</c:v>
                </c:pt>
                <c:pt idx="86">
                  <c:v>31270.532025045592</c:v>
                </c:pt>
                <c:pt idx="87">
                  <c:v>31634.158286753598</c:v>
                </c:pt>
                <c:pt idx="88">
                  <c:v>31997.784548461605</c:v>
                </c:pt>
                <c:pt idx="89">
                  <c:v>32361.410810169611</c:v>
                </c:pt>
                <c:pt idx="90">
                  <c:v>32725.037071877588</c:v>
                </c:pt>
                <c:pt idx="91">
                  <c:v>33088.663333585595</c:v>
                </c:pt>
                <c:pt idx="92">
                  <c:v>33452.289595294591</c:v>
                </c:pt>
                <c:pt idx="93">
                  <c:v>33815.915857002597</c:v>
                </c:pt>
                <c:pt idx="94">
                  <c:v>34179.542118710604</c:v>
                </c:pt>
                <c:pt idx="95">
                  <c:v>34543.16838041861</c:v>
                </c:pt>
                <c:pt idx="96">
                  <c:v>34906.794642126588</c:v>
                </c:pt>
                <c:pt idx="97">
                  <c:v>35270.420903835584</c:v>
                </c:pt>
                <c:pt idx="98">
                  <c:v>35634.04716554359</c:v>
                </c:pt>
                <c:pt idx="99">
                  <c:v>35997.673427251597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01-4FD4-9E94-1D4DB23206B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Sheet1!$X$2:$X$101</c:f>
              <c:numCache>
                <c:formatCode>General</c:formatCode>
                <c:ptCount val="100"/>
                <c:pt idx="0">
                  <c:v>35997.525494811583</c:v>
                </c:pt>
                <c:pt idx="1">
                  <c:v>35633.899233103606</c:v>
                </c:pt>
                <c:pt idx="2">
                  <c:v>35270.2729713956</c:v>
                </c:pt>
                <c:pt idx="3">
                  <c:v>34906.646709686604</c:v>
                </c:pt>
                <c:pt idx="4">
                  <c:v>34543.020447978597</c:v>
                </c:pt>
                <c:pt idx="5">
                  <c:v>34179.394186270591</c:v>
                </c:pt>
                <c:pt idx="6">
                  <c:v>33815.767924562584</c:v>
                </c:pt>
                <c:pt idx="7">
                  <c:v>33452.141662854607</c:v>
                </c:pt>
                <c:pt idx="8">
                  <c:v>33088.515401145611</c:v>
                </c:pt>
                <c:pt idx="9">
                  <c:v>32724.889139437604</c:v>
                </c:pt>
                <c:pt idx="10">
                  <c:v>32361.262877729598</c:v>
                </c:pt>
                <c:pt idx="11">
                  <c:v>31997.636616021591</c:v>
                </c:pt>
                <c:pt idx="12">
                  <c:v>31634.010354313585</c:v>
                </c:pt>
                <c:pt idx="13">
                  <c:v>31270.384092604589</c:v>
                </c:pt>
                <c:pt idx="14">
                  <c:v>30906.757830896611</c:v>
                </c:pt>
                <c:pt idx="15">
                  <c:v>30543.131569188605</c:v>
                </c:pt>
                <c:pt idx="16">
                  <c:v>30179.505307480598</c:v>
                </c:pt>
                <c:pt idx="17">
                  <c:v>29815.879045772592</c:v>
                </c:pt>
                <c:pt idx="18">
                  <c:v>29452.252784064585</c:v>
                </c:pt>
                <c:pt idx="19">
                  <c:v>29088.626522355589</c:v>
                </c:pt>
                <c:pt idx="20">
                  <c:v>28725.000260647583</c:v>
                </c:pt>
                <c:pt idx="21">
                  <c:v>28361.373998939605</c:v>
                </c:pt>
                <c:pt idx="22">
                  <c:v>27997.747737231599</c:v>
                </c:pt>
                <c:pt idx="23">
                  <c:v>27634.121475523592</c:v>
                </c:pt>
                <c:pt idx="24">
                  <c:v>27270.495213814596</c:v>
                </c:pt>
                <c:pt idx="25">
                  <c:v>26906.86895210659</c:v>
                </c:pt>
                <c:pt idx="26">
                  <c:v>26543.242690398583</c:v>
                </c:pt>
                <c:pt idx="27">
                  <c:v>26179.616428690606</c:v>
                </c:pt>
                <c:pt idx="28">
                  <c:v>25815.990166982599</c:v>
                </c:pt>
                <c:pt idx="29">
                  <c:v>25452.363905273603</c:v>
                </c:pt>
                <c:pt idx="30">
                  <c:v>25088.737643565597</c:v>
                </c:pt>
                <c:pt idx="31">
                  <c:v>24725.11138185759</c:v>
                </c:pt>
                <c:pt idx="32">
                  <c:v>24361.485120149584</c:v>
                </c:pt>
                <c:pt idx="33">
                  <c:v>23997.858858441607</c:v>
                </c:pt>
                <c:pt idx="34">
                  <c:v>23634.232596732611</c:v>
                </c:pt>
                <c:pt idx="35">
                  <c:v>23270.606335024604</c:v>
                </c:pt>
                <c:pt idx="36">
                  <c:v>22906.980073316598</c:v>
                </c:pt>
                <c:pt idx="37">
                  <c:v>22543.353811608591</c:v>
                </c:pt>
                <c:pt idx="38">
                  <c:v>22179.727549900585</c:v>
                </c:pt>
                <c:pt idx="39">
                  <c:v>21816.101288192607</c:v>
                </c:pt>
                <c:pt idx="40">
                  <c:v>21452.475026483611</c:v>
                </c:pt>
                <c:pt idx="41">
                  <c:v>21088.848764775605</c:v>
                </c:pt>
                <c:pt idx="42">
                  <c:v>20725.222503067598</c:v>
                </c:pt>
                <c:pt idx="43">
                  <c:v>20361.596241359592</c:v>
                </c:pt>
                <c:pt idx="44">
                  <c:v>19997.969979651585</c:v>
                </c:pt>
                <c:pt idx="45">
                  <c:v>19634.343717942589</c:v>
                </c:pt>
                <c:pt idx="46">
                  <c:v>19270.717456234583</c:v>
                </c:pt>
                <c:pt idx="47">
                  <c:v>18907.091194526605</c:v>
                </c:pt>
                <c:pt idx="48">
                  <c:v>18543.464932818599</c:v>
                </c:pt>
                <c:pt idx="49">
                  <c:v>18179.838671110592</c:v>
                </c:pt>
                <c:pt idx="50">
                  <c:v>17816.212409401596</c:v>
                </c:pt>
                <c:pt idx="51">
                  <c:v>17452.58614769359</c:v>
                </c:pt>
                <c:pt idx="52">
                  <c:v>17088.959885985583</c:v>
                </c:pt>
                <c:pt idx="53">
                  <c:v>16725.333624277606</c:v>
                </c:pt>
                <c:pt idx="54">
                  <c:v>16361.707362569599</c:v>
                </c:pt>
                <c:pt idx="55">
                  <c:v>15998.081100860603</c:v>
                </c:pt>
                <c:pt idx="56">
                  <c:v>15634.454839152597</c:v>
                </c:pt>
                <c:pt idx="57">
                  <c:v>15270.82857744459</c:v>
                </c:pt>
                <c:pt idx="58">
                  <c:v>14907.202315736584</c:v>
                </c:pt>
                <c:pt idx="59">
                  <c:v>14543.576054028606</c:v>
                </c:pt>
                <c:pt idx="60">
                  <c:v>14179.94979231961</c:v>
                </c:pt>
                <c:pt idx="61">
                  <c:v>13816.323530611604</c:v>
                </c:pt>
                <c:pt idx="62">
                  <c:v>13452.697268903597</c:v>
                </c:pt>
                <c:pt idx="63">
                  <c:v>13089.071007195591</c:v>
                </c:pt>
                <c:pt idx="64">
                  <c:v>12725.444745487584</c:v>
                </c:pt>
                <c:pt idx="65">
                  <c:v>12361.818483779607</c:v>
                </c:pt>
                <c:pt idx="66">
                  <c:v>11998.192222070611</c:v>
                </c:pt>
                <c:pt idx="67">
                  <c:v>11634.565960362605</c:v>
                </c:pt>
                <c:pt idx="68">
                  <c:v>11270.939698654598</c:v>
                </c:pt>
                <c:pt idx="69">
                  <c:v>10907.313436946592</c:v>
                </c:pt>
                <c:pt idx="70">
                  <c:v>10543.687175238585</c:v>
                </c:pt>
                <c:pt idx="71">
                  <c:v>10180.060913529589</c:v>
                </c:pt>
                <c:pt idx="72">
                  <c:v>9816.4346518215825</c:v>
                </c:pt>
                <c:pt idx="73">
                  <c:v>9452.8083901136051</c:v>
                </c:pt>
                <c:pt idx="74">
                  <c:v>9089.1821284055986</c:v>
                </c:pt>
                <c:pt idx="75">
                  <c:v>8725.5558666975921</c:v>
                </c:pt>
                <c:pt idx="76">
                  <c:v>8361.9296049885961</c:v>
                </c:pt>
                <c:pt idx="77">
                  <c:v>7998.3033432805896</c:v>
                </c:pt>
                <c:pt idx="78">
                  <c:v>7634.6770815725831</c:v>
                </c:pt>
                <c:pt idx="79">
                  <c:v>7271.0508198646057</c:v>
                </c:pt>
                <c:pt idx="80">
                  <c:v>6907.4245581565992</c:v>
                </c:pt>
                <c:pt idx="81">
                  <c:v>6543.7982964476032</c:v>
                </c:pt>
                <c:pt idx="82">
                  <c:v>6180.1720347395967</c:v>
                </c:pt>
                <c:pt idx="83">
                  <c:v>5816.5457730315902</c:v>
                </c:pt>
                <c:pt idx="84">
                  <c:v>5452.9195113235837</c:v>
                </c:pt>
                <c:pt idx="85">
                  <c:v>5089.2932496156063</c:v>
                </c:pt>
                <c:pt idx="86">
                  <c:v>4725.6669879066103</c:v>
                </c:pt>
                <c:pt idx="87">
                  <c:v>4362.0407261986038</c:v>
                </c:pt>
                <c:pt idx="88">
                  <c:v>3998.4144644905973</c:v>
                </c:pt>
                <c:pt idx="89">
                  <c:v>3634.7882027825908</c:v>
                </c:pt>
                <c:pt idx="90">
                  <c:v>3271.1619410745843</c:v>
                </c:pt>
                <c:pt idx="91">
                  <c:v>2907.5356793666069</c:v>
                </c:pt>
                <c:pt idx="92">
                  <c:v>2543.9094176576109</c:v>
                </c:pt>
                <c:pt idx="93">
                  <c:v>2180.2831559496044</c:v>
                </c:pt>
                <c:pt idx="94">
                  <c:v>1816.6568942415979</c:v>
                </c:pt>
                <c:pt idx="95">
                  <c:v>1453.0306325335914</c:v>
                </c:pt>
                <c:pt idx="96">
                  <c:v>1089.4043708255849</c:v>
                </c:pt>
                <c:pt idx="97">
                  <c:v>725.77810911658889</c:v>
                </c:pt>
                <c:pt idx="98">
                  <c:v>362.1518474085824</c:v>
                </c:pt>
                <c:pt idx="99">
                  <c:v>-1.4744142993949936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01-4FD4-9E94-1D4DB23206BD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Sheet1!$AB$2:$AB$101</c:f>
              <c:numCache>
                <c:formatCode>General</c:formatCode>
                <c:ptCount val="100"/>
                <c:pt idx="0">
                  <c:v>-1.4277557644018088</c:v>
                </c:pt>
                <c:pt idx="1">
                  <c:v>362.19850594360469</c:v>
                </c:pt>
                <c:pt idx="2">
                  <c:v>725.82476765161118</c:v>
                </c:pt>
                <c:pt idx="3">
                  <c:v>1089.4510293606072</c:v>
                </c:pt>
                <c:pt idx="4">
                  <c:v>1453.0772910686137</c:v>
                </c:pt>
                <c:pt idx="5">
                  <c:v>1816.7035527765911</c:v>
                </c:pt>
                <c:pt idx="6">
                  <c:v>2180.3298144845976</c:v>
                </c:pt>
                <c:pt idx="7">
                  <c:v>2543.9560761926041</c:v>
                </c:pt>
                <c:pt idx="8">
                  <c:v>2907.5823379016001</c:v>
                </c:pt>
                <c:pt idx="9">
                  <c:v>3271.2085996096066</c:v>
                </c:pt>
                <c:pt idx="10">
                  <c:v>3634.8348613176131</c:v>
                </c:pt>
                <c:pt idx="11">
                  <c:v>3998.4611230255905</c:v>
                </c:pt>
                <c:pt idx="12">
                  <c:v>4362.087384733597</c:v>
                </c:pt>
                <c:pt idx="13">
                  <c:v>4725.713646442593</c:v>
                </c:pt>
                <c:pt idx="14">
                  <c:v>5089.3399081505995</c:v>
                </c:pt>
                <c:pt idx="15">
                  <c:v>5452.966169858606</c:v>
                </c:pt>
                <c:pt idx="16">
                  <c:v>5816.5924315666125</c:v>
                </c:pt>
                <c:pt idx="17">
                  <c:v>6180.218693274619</c:v>
                </c:pt>
                <c:pt idx="18">
                  <c:v>6543.8449549825964</c:v>
                </c:pt>
                <c:pt idx="19">
                  <c:v>6907.4712166915924</c:v>
                </c:pt>
                <c:pt idx="20">
                  <c:v>7271.0974783995989</c:v>
                </c:pt>
                <c:pt idx="21">
                  <c:v>7634.7237401076054</c:v>
                </c:pt>
                <c:pt idx="22">
                  <c:v>7998.3500018156119</c:v>
                </c:pt>
                <c:pt idx="23">
                  <c:v>8361.9762635236184</c:v>
                </c:pt>
                <c:pt idx="24">
                  <c:v>8725.6025252326144</c:v>
                </c:pt>
                <c:pt idx="25">
                  <c:v>9089.2287869405918</c:v>
                </c:pt>
                <c:pt idx="26">
                  <c:v>9452.8550486485983</c:v>
                </c:pt>
                <c:pt idx="27">
                  <c:v>9816.4813103566048</c:v>
                </c:pt>
                <c:pt idx="28">
                  <c:v>10180.107572064611</c:v>
                </c:pt>
                <c:pt idx="29">
                  <c:v>10543.733833773607</c:v>
                </c:pt>
                <c:pt idx="30">
                  <c:v>10907.360095481614</c:v>
                </c:pt>
                <c:pt idx="31">
                  <c:v>11270.986357189591</c:v>
                </c:pt>
                <c:pt idx="32">
                  <c:v>11634.612618897598</c:v>
                </c:pt>
                <c:pt idx="33">
                  <c:v>11998.238880605604</c:v>
                </c:pt>
                <c:pt idx="34">
                  <c:v>12361.8651423146</c:v>
                </c:pt>
                <c:pt idx="35">
                  <c:v>12725.491404022607</c:v>
                </c:pt>
                <c:pt idx="36">
                  <c:v>13089.117665730613</c:v>
                </c:pt>
                <c:pt idx="37">
                  <c:v>13452.743927438591</c:v>
                </c:pt>
                <c:pt idx="38">
                  <c:v>13816.370189146597</c:v>
                </c:pt>
                <c:pt idx="39">
                  <c:v>14179.996450855593</c:v>
                </c:pt>
                <c:pt idx="40">
                  <c:v>14543.6227125636</c:v>
                </c:pt>
                <c:pt idx="41">
                  <c:v>14907.248974271606</c:v>
                </c:pt>
                <c:pt idx="42">
                  <c:v>15270.875235979613</c:v>
                </c:pt>
                <c:pt idx="43">
                  <c:v>15634.501497687619</c:v>
                </c:pt>
                <c:pt idx="44">
                  <c:v>15998.127759395597</c:v>
                </c:pt>
                <c:pt idx="45">
                  <c:v>16361.754021104593</c:v>
                </c:pt>
                <c:pt idx="46">
                  <c:v>16725.380282812599</c:v>
                </c:pt>
                <c:pt idx="47">
                  <c:v>17089.006544520606</c:v>
                </c:pt>
                <c:pt idx="48">
                  <c:v>17452.632806228612</c:v>
                </c:pt>
                <c:pt idx="49">
                  <c:v>17816.259067936619</c:v>
                </c:pt>
                <c:pt idx="50">
                  <c:v>18179.885329645615</c:v>
                </c:pt>
                <c:pt idx="51">
                  <c:v>18543.511591353592</c:v>
                </c:pt>
                <c:pt idx="52">
                  <c:v>18907.137853061598</c:v>
                </c:pt>
                <c:pt idx="53">
                  <c:v>19270.764114769605</c:v>
                </c:pt>
                <c:pt idx="54">
                  <c:v>19634.390376477611</c:v>
                </c:pt>
                <c:pt idx="55">
                  <c:v>19998.016638186607</c:v>
                </c:pt>
                <c:pt idx="56">
                  <c:v>20361.642899894614</c:v>
                </c:pt>
                <c:pt idx="57">
                  <c:v>20725.269161602591</c:v>
                </c:pt>
                <c:pt idx="58">
                  <c:v>21088.895423310598</c:v>
                </c:pt>
                <c:pt idx="59">
                  <c:v>21452.521685018604</c:v>
                </c:pt>
                <c:pt idx="60">
                  <c:v>21816.1479467276</c:v>
                </c:pt>
                <c:pt idx="61">
                  <c:v>22179.774208435607</c:v>
                </c:pt>
                <c:pt idx="62">
                  <c:v>22543.400470143613</c:v>
                </c:pt>
                <c:pt idx="63">
                  <c:v>22907.026731851591</c:v>
                </c:pt>
                <c:pt idx="64">
                  <c:v>23270.652993559597</c:v>
                </c:pt>
                <c:pt idx="65">
                  <c:v>23634.279255267604</c:v>
                </c:pt>
                <c:pt idx="66">
                  <c:v>23997.9055169766</c:v>
                </c:pt>
                <c:pt idx="67">
                  <c:v>24361.531778684606</c:v>
                </c:pt>
                <c:pt idx="68">
                  <c:v>24725.158040392613</c:v>
                </c:pt>
                <c:pt idx="69">
                  <c:v>25088.784302100619</c:v>
                </c:pt>
                <c:pt idx="70">
                  <c:v>25452.410563808597</c:v>
                </c:pt>
                <c:pt idx="71">
                  <c:v>25816.036825517593</c:v>
                </c:pt>
                <c:pt idx="72">
                  <c:v>26179.663087225599</c:v>
                </c:pt>
                <c:pt idx="73">
                  <c:v>26543.289348933606</c:v>
                </c:pt>
                <c:pt idx="74">
                  <c:v>26906.915610641612</c:v>
                </c:pt>
                <c:pt idx="75">
                  <c:v>27270.541872349619</c:v>
                </c:pt>
                <c:pt idx="76">
                  <c:v>27634.168134058615</c:v>
                </c:pt>
                <c:pt idx="77">
                  <c:v>27997.794395766592</c:v>
                </c:pt>
                <c:pt idx="78">
                  <c:v>28361.420657474599</c:v>
                </c:pt>
                <c:pt idx="79">
                  <c:v>28725.046919182605</c:v>
                </c:pt>
                <c:pt idx="80">
                  <c:v>29088.673180890612</c:v>
                </c:pt>
                <c:pt idx="81">
                  <c:v>29452.299442599608</c:v>
                </c:pt>
                <c:pt idx="82">
                  <c:v>29815.925704307614</c:v>
                </c:pt>
                <c:pt idx="83">
                  <c:v>30179.551966015591</c:v>
                </c:pt>
                <c:pt idx="84">
                  <c:v>30543.178227723598</c:v>
                </c:pt>
                <c:pt idx="85">
                  <c:v>30906.804489431604</c:v>
                </c:pt>
                <c:pt idx="86">
                  <c:v>31270.4307511406</c:v>
                </c:pt>
                <c:pt idx="87">
                  <c:v>31634.057012848607</c:v>
                </c:pt>
                <c:pt idx="88">
                  <c:v>31997.683274556613</c:v>
                </c:pt>
                <c:pt idx="89">
                  <c:v>32361.309536264591</c:v>
                </c:pt>
                <c:pt idx="90">
                  <c:v>32724.935797972597</c:v>
                </c:pt>
                <c:pt idx="91">
                  <c:v>33088.562059680604</c:v>
                </c:pt>
                <c:pt idx="92">
                  <c:v>33452.1883213896</c:v>
                </c:pt>
                <c:pt idx="93">
                  <c:v>33815.814583097606</c:v>
                </c:pt>
                <c:pt idx="94">
                  <c:v>34179.440844805613</c:v>
                </c:pt>
                <c:pt idx="95">
                  <c:v>34543.067106513619</c:v>
                </c:pt>
                <c:pt idx="96">
                  <c:v>34906.693368221597</c:v>
                </c:pt>
                <c:pt idx="97">
                  <c:v>35270.319629930593</c:v>
                </c:pt>
                <c:pt idx="98">
                  <c:v>35633.945891638599</c:v>
                </c:pt>
                <c:pt idx="99">
                  <c:v>35997.572153346606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01-4FD4-9E94-1D4DB23206BD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Sheet1!$AF$2:$AF$101</c:f>
              <c:numCache>
                <c:formatCode>General</c:formatCode>
                <c:ptCount val="100"/>
                <c:pt idx="0">
                  <c:v>35997.568185711621</c:v>
                </c:pt>
                <c:pt idx="1">
                  <c:v>35633.941924003615</c:v>
                </c:pt>
                <c:pt idx="2">
                  <c:v>35270.315662295608</c:v>
                </c:pt>
                <c:pt idx="3">
                  <c:v>34906.689400586612</c:v>
                </c:pt>
                <c:pt idx="4">
                  <c:v>34543.063138878606</c:v>
                </c:pt>
                <c:pt idx="5">
                  <c:v>34179.436877170599</c:v>
                </c:pt>
                <c:pt idx="6">
                  <c:v>33815.810615462593</c:v>
                </c:pt>
                <c:pt idx="7">
                  <c:v>33452.184353754616</c:v>
                </c:pt>
                <c:pt idx="8">
                  <c:v>33088.55809204562</c:v>
                </c:pt>
                <c:pt idx="9">
                  <c:v>32724.931830337613</c:v>
                </c:pt>
                <c:pt idx="10">
                  <c:v>32361.305568629607</c:v>
                </c:pt>
                <c:pt idx="11">
                  <c:v>31997.6793069216</c:v>
                </c:pt>
                <c:pt idx="12">
                  <c:v>31634.053045213594</c:v>
                </c:pt>
                <c:pt idx="13">
                  <c:v>31270.426783504598</c:v>
                </c:pt>
                <c:pt idx="14">
                  <c:v>30906.80052179662</c:v>
                </c:pt>
                <c:pt idx="15">
                  <c:v>30543.174260088614</c:v>
                </c:pt>
                <c:pt idx="16">
                  <c:v>30179.547998380607</c:v>
                </c:pt>
                <c:pt idx="17">
                  <c:v>29815.921736672601</c:v>
                </c:pt>
                <c:pt idx="18">
                  <c:v>29452.295474964594</c:v>
                </c:pt>
                <c:pt idx="19">
                  <c:v>29088.669213255598</c:v>
                </c:pt>
                <c:pt idx="20">
                  <c:v>28725.042951547621</c:v>
                </c:pt>
                <c:pt idx="21">
                  <c:v>28361.416689839614</c:v>
                </c:pt>
                <c:pt idx="22">
                  <c:v>27997.790428131608</c:v>
                </c:pt>
                <c:pt idx="23">
                  <c:v>27634.164166423601</c:v>
                </c:pt>
                <c:pt idx="24">
                  <c:v>27270.537904714605</c:v>
                </c:pt>
                <c:pt idx="25">
                  <c:v>26906.911643006599</c:v>
                </c:pt>
                <c:pt idx="26">
                  <c:v>26543.285381298621</c:v>
                </c:pt>
                <c:pt idx="27">
                  <c:v>26179.659119590615</c:v>
                </c:pt>
                <c:pt idx="28">
                  <c:v>25816.032857882579</c:v>
                </c:pt>
                <c:pt idx="29">
                  <c:v>25452.406596173612</c:v>
                </c:pt>
                <c:pt idx="30">
                  <c:v>25088.780334465635</c:v>
                </c:pt>
                <c:pt idx="31">
                  <c:v>24725.154072757599</c:v>
                </c:pt>
                <c:pt idx="32">
                  <c:v>24361.527811049622</c:v>
                </c:pt>
                <c:pt idx="33">
                  <c:v>23997.901549341586</c:v>
                </c:pt>
                <c:pt idx="34">
                  <c:v>23634.275287632619</c:v>
                </c:pt>
                <c:pt idx="35">
                  <c:v>23270.649025924584</c:v>
                </c:pt>
                <c:pt idx="36">
                  <c:v>22907.022764216606</c:v>
                </c:pt>
                <c:pt idx="37">
                  <c:v>22543.396502508629</c:v>
                </c:pt>
                <c:pt idx="38">
                  <c:v>22179.770240800593</c:v>
                </c:pt>
                <c:pt idx="39">
                  <c:v>21816.143979092616</c:v>
                </c:pt>
                <c:pt idx="40">
                  <c:v>21452.517717383591</c:v>
                </c:pt>
                <c:pt idx="41">
                  <c:v>21088.891455675614</c:v>
                </c:pt>
                <c:pt idx="42">
                  <c:v>20725.265193967578</c:v>
                </c:pt>
                <c:pt idx="43">
                  <c:v>20361.638932259601</c:v>
                </c:pt>
                <c:pt idx="44">
                  <c:v>19998.012670551623</c:v>
                </c:pt>
                <c:pt idx="45">
                  <c:v>19634.386408842598</c:v>
                </c:pt>
                <c:pt idx="46">
                  <c:v>19270.760147134621</c:v>
                </c:pt>
                <c:pt idx="47">
                  <c:v>18907.133885426585</c:v>
                </c:pt>
                <c:pt idx="48">
                  <c:v>18543.507623718608</c:v>
                </c:pt>
                <c:pt idx="49">
                  <c:v>18179.88136201063</c:v>
                </c:pt>
                <c:pt idx="50">
                  <c:v>17816.255100301605</c:v>
                </c:pt>
                <c:pt idx="51">
                  <c:v>17452.628838593628</c:v>
                </c:pt>
                <c:pt idx="52">
                  <c:v>17089.002576885592</c:v>
                </c:pt>
                <c:pt idx="53">
                  <c:v>16725.376315177615</c:v>
                </c:pt>
                <c:pt idx="54">
                  <c:v>16361.750053469579</c:v>
                </c:pt>
                <c:pt idx="55">
                  <c:v>15998.123791760612</c:v>
                </c:pt>
                <c:pt idx="56">
                  <c:v>15634.497530052635</c:v>
                </c:pt>
                <c:pt idx="57">
                  <c:v>15270.871268344599</c:v>
                </c:pt>
                <c:pt idx="58">
                  <c:v>14907.245006636622</c:v>
                </c:pt>
                <c:pt idx="59">
                  <c:v>14543.618744928586</c:v>
                </c:pt>
                <c:pt idx="60">
                  <c:v>14179.992483219619</c:v>
                </c:pt>
                <c:pt idx="61">
                  <c:v>13816.366221511584</c:v>
                </c:pt>
                <c:pt idx="62">
                  <c:v>13452.739959803606</c:v>
                </c:pt>
                <c:pt idx="63">
                  <c:v>13089.113698095629</c:v>
                </c:pt>
                <c:pt idx="64">
                  <c:v>12725.487436387593</c:v>
                </c:pt>
                <c:pt idx="65">
                  <c:v>12361.861174679616</c:v>
                </c:pt>
                <c:pt idx="66">
                  <c:v>11998.234912970591</c:v>
                </c:pt>
                <c:pt idx="67">
                  <c:v>11634.608651262613</c:v>
                </c:pt>
                <c:pt idx="68">
                  <c:v>11270.982389554636</c:v>
                </c:pt>
                <c:pt idx="69">
                  <c:v>10907.3561278466</c:v>
                </c:pt>
                <c:pt idx="70">
                  <c:v>10543.729866138623</c:v>
                </c:pt>
                <c:pt idx="71">
                  <c:v>10180.103604429598</c:v>
                </c:pt>
                <c:pt idx="72">
                  <c:v>9816.4773427216205</c:v>
                </c:pt>
                <c:pt idx="73">
                  <c:v>9452.8510810135849</c:v>
                </c:pt>
                <c:pt idx="74">
                  <c:v>9089.2248193056075</c:v>
                </c:pt>
                <c:pt idx="75">
                  <c:v>8725.5985575976301</c:v>
                </c:pt>
                <c:pt idx="76">
                  <c:v>8361.972295888605</c:v>
                </c:pt>
                <c:pt idx="77">
                  <c:v>7998.3460341806276</c:v>
                </c:pt>
                <c:pt idx="78">
                  <c:v>7634.719772472592</c:v>
                </c:pt>
                <c:pt idx="79">
                  <c:v>7271.0935107646146</c:v>
                </c:pt>
                <c:pt idx="80">
                  <c:v>6907.467249056579</c:v>
                </c:pt>
                <c:pt idx="81">
                  <c:v>6543.8409873476121</c:v>
                </c:pt>
                <c:pt idx="82">
                  <c:v>6180.2147256396347</c:v>
                </c:pt>
                <c:pt idx="83">
                  <c:v>5816.5884639315991</c:v>
                </c:pt>
                <c:pt idx="84">
                  <c:v>5452.9622022236217</c:v>
                </c:pt>
                <c:pt idx="85">
                  <c:v>5089.3359405155861</c:v>
                </c:pt>
                <c:pt idx="86">
                  <c:v>4725.7096788066192</c:v>
                </c:pt>
                <c:pt idx="87">
                  <c:v>4362.0834170985836</c:v>
                </c:pt>
                <c:pt idx="88">
                  <c:v>3998.4571553906062</c:v>
                </c:pt>
                <c:pt idx="89">
                  <c:v>3634.8308936826288</c:v>
                </c:pt>
                <c:pt idx="90">
                  <c:v>3271.2046319745932</c:v>
                </c:pt>
                <c:pt idx="91">
                  <c:v>2907.5783702666158</c:v>
                </c:pt>
                <c:pt idx="92">
                  <c:v>2543.9521085575907</c:v>
                </c:pt>
                <c:pt idx="93">
                  <c:v>2180.3258468496133</c:v>
                </c:pt>
                <c:pt idx="94">
                  <c:v>1816.6995851416359</c:v>
                </c:pt>
                <c:pt idx="95">
                  <c:v>1453.0733234336003</c:v>
                </c:pt>
                <c:pt idx="96">
                  <c:v>1089.4470617256229</c:v>
                </c:pt>
                <c:pt idx="97">
                  <c:v>725.82080001659779</c:v>
                </c:pt>
                <c:pt idx="98">
                  <c:v>362.19453830862039</c:v>
                </c:pt>
                <c:pt idx="99">
                  <c:v>-1.4317233994152048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01-4FD4-9E94-1D4DB23206BD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-1.3720266694217571</c:v>
                </c:pt>
                <c:pt idx="1">
                  <c:v>362.25423503861384</c:v>
                </c:pt>
                <c:pt idx="2">
                  <c:v>725.88049674659123</c:v>
                </c:pt>
                <c:pt idx="3">
                  <c:v>1089.5067584555582</c:v>
                </c:pt>
                <c:pt idx="4">
                  <c:v>1453.1330201635938</c:v>
                </c:pt>
                <c:pt idx="5">
                  <c:v>1816.7592818715711</c:v>
                </c:pt>
                <c:pt idx="6">
                  <c:v>2180.3855435796067</c:v>
                </c:pt>
                <c:pt idx="7">
                  <c:v>2544.0118052875841</c:v>
                </c:pt>
                <c:pt idx="8">
                  <c:v>2907.6380669966093</c:v>
                </c:pt>
                <c:pt idx="9">
                  <c:v>3271.2643287045867</c:v>
                </c:pt>
                <c:pt idx="10">
                  <c:v>3634.8905904125641</c:v>
                </c:pt>
                <c:pt idx="11">
                  <c:v>3998.5168521205997</c:v>
                </c:pt>
                <c:pt idx="12">
                  <c:v>4362.143113828577</c:v>
                </c:pt>
                <c:pt idx="13">
                  <c:v>4725.7693755376022</c:v>
                </c:pt>
                <c:pt idx="14">
                  <c:v>5089.3956372455796</c:v>
                </c:pt>
                <c:pt idx="15">
                  <c:v>5453.021898953557</c:v>
                </c:pt>
                <c:pt idx="16">
                  <c:v>5816.6481606615926</c:v>
                </c:pt>
                <c:pt idx="17">
                  <c:v>6180.2744223695699</c:v>
                </c:pt>
                <c:pt idx="18">
                  <c:v>6543.9006840776055</c:v>
                </c:pt>
                <c:pt idx="19">
                  <c:v>6907.5269457865725</c:v>
                </c:pt>
                <c:pt idx="20">
                  <c:v>7271.1532074946081</c:v>
                </c:pt>
                <c:pt idx="21">
                  <c:v>7634.7794692025855</c:v>
                </c:pt>
                <c:pt idx="22">
                  <c:v>7998.4057309105629</c:v>
                </c:pt>
                <c:pt idx="23">
                  <c:v>8362.0319926185985</c:v>
                </c:pt>
                <c:pt idx="24">
                  <c:v>8725.6582543275654</c:v>
                </c:pt>
                <c:pt idx="25">
                  <c:v>9089.284516035601</c:v>
                </c:pt>
                <c:pt idx="26">
                  <c:v>9452.9107777435784</c:v>
                </c:pt>
                <c:pt idx="27">
                  <c:v>9816.5370394515558</c:v>
                </c:pt>
                <c:pt idx="28">
                  <c:v>10180.163301159591</c:v>
                </c:pt>
                <c:pt idx="29">
                  <c:v>10543.789562868558</c:v>
                </c:pt>
                <c:pt idx="30">
                  <c:v>10907.415824576594</c:v>
                </c:pt>
                <c:pt idx="31">
                  <c:v>11271.042086284571</c:v>
                </c:pt>
                <c:pt idx="32">
                  <c:v>11634.668347992607</c:v>
                </c:pt>
                <c:pt idx="33">
                  <c:v>11998.294609700584</c:v>
                </c:pt>
                <c:pt idx="34">
                  <c:v>12361.920871409609</c:v>
                </c:pt>
                <c:pt idx="35">
                  <c:v>12725.547133117587</c:v>
                </c:pt>
                <c:pt idx="36">
                  <c:v>13089.173394825564</c:v>
                </c:pt>
                <c:pt idx="37">
                  <c:v>13452.7996565336</c:v>
                </c:pt>
                <c:pt idx="38">
                  <c:v>13816.425918241577</c:v>
                </c:pt>
                <c:pt idx="39">
                  <c:v>14180.052179950602</c:v>
                </c:pt>
                <c:pt idx="40">
                  <c:v>14543.67844165858</c:v>
                </c:pt>
                <c:pt idx="41">
                  <c:v>14907.304703366557</c:v>
                </c:pt>
                <c:pt idx="42">
                  <c:v>15270.930965074593</c:v>
                </c:pt>
                <c:pt idx="43">
                  <c:v>15634.55722678257</c:v>
                </c:pt>
                <c:pt idx="44">
                  <c:v>15998.183488490606</c:v>
                </c:pt>
                <c:pt idx="45">
                  <c:v>16361.809750199573</c:v>
                </c:pt>
                <c:pt idx="46">
                  <c:v>16725.436011907608</c:v>
                </c:pt>
                <c:pt idx="47">
                  <c:v>17089.062273615586</c:v>
                </c:pt>
                <c:pt idx="48">
                  <c:v>17452.688535323563</c:v>
                </c:pt>
                <c:pt idx="49">
                  <c:v>17816.314797031599</c:v>
                </c:pt>
                <c:pt idx="50">
                  <c:v>18179.941058740565</c:v>
                </c:pt>
                <c:pt idx="51">
                  <c:v>18543.567320448601</c:v>
                </c:pt>
                <c:pt idx="52">
                  <c:v>18907.193582156578</c:v>
                </c:pt>
                <c:pt idx="53">
                  <c:v>19270.819843864556</c:v>
                </c:pt>
                <c:pt idx="54">
                  <c:v>19634.446105572591</c:v>
                </c:pt>
                <c:pt idx="55">
                  <c:v>19998.072367281558</c:v>
                </c:pt>
                <c:pt idx="56">
                  <c:v>20361.698628989594</c:v>
                </c:pt>
                <c:pt idx="57">
                  <c:v>20725.324890697571</c:v>
                </c:pt>
                <c:pt idx="58">
                  <c:v>21088.951152405607</c:v>
                </c:pt>
                <c:pt idx="59">
                  <c:v>21452.577414113584</c:v>
                </c:pt>
                <c:pt idx="60">
                  <c:v>21816.20367582261</c:v>
                </c:pt>
                <c:pt idx="61">
                  <c:v>22179.829937530587</c:v>
                </c:pt>
                <c:pt idx="62">
                  <c:v>22543.456199238564</c:v>
                </c:pt>
                <c:pt idx="63">
                  <c:v>22907.0824609466</c:v>
                </c:pt>
                <c:pt idx="64">
                  <c:v>23270.708722654577</c:v>
                </c:pt>
                <c:pt idx="65">
                  <c:v>23634.334984363602</c:v>
                </c:pt>
                <c:pt idx="66">
                  <c:v>23997.96124607158</c:v>
                </c:pt>
                <c:pt idx="67">
                  <c:v>24361.587507779557</c:v>
                </c:pt>
                <c:pt idx="68">
                  <c:v>24725.213769487593</c:v>
                </c:pt>
                <c:pt idx="69">
                  <c:v>25088.84003119557</c:v>
                </c:pt>
                <c:pt idx="70">
                  <c:v>25452.466292903606</c:v>
                </c:pt>
                <c:pt idx="71">
                  <c:v>25816.092554612573</c:v>
                </c:pt>
                <c:pt idx="72">
                  <c:v>26179.718816320608</c:v>
                </c:pt>
                <c:pt idx="73">
                  <c:v>26543.345078028586</c:v>
                </c:pt>
                <c:pt idx="74">
                  <c:v>26906.971339736563</c:v>
                </c:pt>
                <c:pt idx="75">
                  <c:v>27270.597601444599</c:v>
                </c:pt>
                <c:pt idx="76">
                  <c:v>27634.223863153566</c:v>
                </c:pt>
                <c:pt idx="77">
                  <c:v>27997.850124861601</c:v>
                </c:pt>
                <c:pt idx="78">
                  <c:v>28361.476386569579</c:v>
                </c:pt>
                <c:pt idx="79">
                  <c:v>28725.102648277556</c:v>
                </c:pt>
                <c:pt idx="80">
                  <c:v>29088.728909985592</c:v>
                </c:pt>
                <c:pt idx="81">
                  <c:v>29452.355171694559</c:v>
                </c:pt>
                <c:pt idx="82">
                  <c:v>29815.981433402594</c:v>
                </c:pt>
                <c:pt idx="83">
                  <c:v>30179.607695110572</c:v>
                </c:pt>
                <c:pt idx="84">
                  <c:v>30543.233956818607</c:v>
                </c:pt>
                <c:pt idx="85">
                  <c:v>30906.860218526585</c:v>
                </c:pt>
                <c:pt idx="86">
                  <c:v>31270.48648023561</c:v>
                </c:pt>
                <c:pt idx="87">
                  <c:v>31634.112741943587</c:v>
                </c:pt>
                <c:pt idx="88">
                  <c:v>31997.739003651564</c:v>
                </c:pt>
                <c:pt idx="89">
                  <c:v>32361.3652653596</c:v>
                </c:pt>
                <c:pt idx="90">
                  <c:v>32724.991527067577</c:v>
                </c:pt>
                <c:pt idx="91">
                  <c:v>33088.617788776603</c:v>
                </c:pt>
                <c:pt idx="92">
                  <c:v>33452.24405048458</c:v>
                </c:pt>
                <c:pt idx="93">
                  <c:v>33815.870312192557</c:v>
                </c:pt>
                <c:pt idx="94">
                  <c:v>34179.496573900593</c:v>
                </c:pt>
                <c:pt idx="95">
                  <c:v>34543.12283560857</c:v>
                </c:pt>
                <c:pt idx="96">
                  <c:v>34906.749097316606</c:v>
                </c:pt>
                <c:pt idx="97">
                  <c:v>35270.375359025573</c:v>
                </c:pt>
                <c:pt idx="98">
                  <c:v>35634.001620733608</c:v>
                </c:pt>
                <c:pt idx="99">
                  <c:v>35997.627882441586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01-4FD4-9E94-1D4DB23206BD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Sheet1!$AN$2:$AN$101</c:f>
              <c:numCache>
                <c:formatCode>General</c:formatCode>
                <c:ptCount val="100"/>
                <c:pt idx="0">
                  <c:v>35997.608876611594</c:v>
                </c:pt>
                <c:pt idx="1">
                  <c:v>35633.982614903558</c:v>
                </c:pt>
                <c:pt idx="2">
                  <c:v>35270.356353195581</c:v>
                </c:pt>
                <c:pt idx="3">
                  <c:v>34906.730091486614</c:v>
                </c:pt>
                <c:pt idx="4">
                  <c:v>34543.103829778578</c:v>
                </c:pt>
                <c:pt idx="5">
                  <c:v>34179.477568070601</c:v>
                </c:pt>
                <c:pt idx="6">
                  <c:v>33815.851306362565</c:v>
                </c:pt>
                <c:pt idx="7">
                  <c:v>33452.225044654588</c:v>
                </c:pt>
                <c:pt idx="8">
                  <c:v>33088.598782945563</c:v>
                </c:pt>
                <c:pt idx="9">
                  <c:v>32724.972521237585</c:v>
                </c:pt>
                <c:pt idx="10">
                  <c:v>32361.346259529608</c:v>
                </c:pt>
                <c:pt idx="11">
                  <c:v>31997.719997821572</c:v>
                </c:pt>
                <c:pt idx="12">
                  <c:v>31634.093736113595</c:v>
                </c:pt>
                <c:pt idx="13">
                  <c:v>31270.46747440457</c:v>
                </c:pt>
                <c:pt idx="14">
                  <c:v>30906.841212696592</c:v>
                </c:pt>
                <c:pt idx="15">
                  <c:v>30543.214950988615</c:v>
                </c:pt>
                <c:pt idx="16">
                  <c:v>30179.588689280579</c:v>
                </c:pt>
                <c:pt idx="17">
                  <c:v>29815.962427572602</c:v>
                </c:pt>
                <c:pt idx="18">
                  <c:v>29452.336165864566</c:v>
                </c:pt>
                <c:pt idx="19">
                  <c:v>29088.709904155599</c:v>
                </c:pt>
                <c:pt idx="20">
                  <c:v>28725.083642447564</c:v>
                </c:pt>
                <c:pt idx="21">
                  <c:v>28361.457380739586</c:v>
                </c:pt>
                <c:pt idx="22">
                  <c:v>27997.831119031609</c:v>
                </c:pt>
                <c:pt idx="23">
                  <c:v>27634.204857323573</c:v>
                </c:pt>
                <c:pt idx="24">
                  <c:v>27270.578595614606</c:v>
                </c:pt>
                <c:pt idx="25">
                  <c:v>26906.952333906571</c:v>
                </c:pt>
                <c:pt idx="26">
                  <c:v>26543.326072198593</c:v>
                </c:pt>
                <c:pt idx="27">
                  <c:v>26179.699810490558</c:v>
                </c:pt>
                <c:pt idx="28">
                  <c:v>25816.07354878258</c:v>
                </c:pt>
                <c:pt idx="29">
                  <c:v>25452.447287073614</c:v>
                </c:pt>
                <c:pt idx="30">
                  <c:v>25088.821025365578</c:v>
                </c:pt>
                <c:pt idx="31">
                  <c:v>24725.194763657601</c:v>
                </c:pt>
                <c:pt idx="32">
                  <c:v>24361.568501949565</c:v>
                </c:pt>
                <c:pt idx="33">
                  <c:v>23997.942240241588</c:v>
                </c:pt>
                <c:pt idx="34">
                  <c:v>23634.315978532562</c:v>
                </c:pt>
                <c:pt idx="35">
                  <c:v>23270.689716824585</c:v>
                </c:pt>
                <c:pt idx="36">
                  <c:v>22907.063455116608</c:v>
                </c:pt>
                <c:pt idx="37">
                  <c:v>22543.437193408572</c:v>
                </c:pt>
                <c:pt idx="38">
                  <c:v>22179.810931700595</c:v>
                </c:pt>
                <c:pt idx="39">
                  <c:v>21816.18466999157</c:v>
                </c:pt>
                <c:pt idx="40">
                  <c:v>21452.558408283592</c:v>
                </c:pt>
                <c:pt idx="41">
                  <c:v>21088.932146575615</c:v>
                </c:pt>
                <c:pt idx="42">
                  <c:v>20725.305884867579</c:v>
                </c:pt>
                <c:pt idx="43">
                  <c:v>20361.679623159602</c:v>
                </c:pt>
                <c:pt idx="44">
                  <c:v>19998.053361451566</c:v>
                </c:pt>
                <c:pt idx="45">
                  <c:v>19634.427099742599</c:v>
                </c:pt>
                <c:pt idx="46">
                  <c:v>19270.800838034564</c:v>
                </c:pt>
                <c:pt idx="47">
                  <c:v>18907.174576326586</c:v>
                </c:pt>
                <c:pt idx="48">
                  <c:v>18543.548314618609</c:v>
                </c:pt>
                <c:pt idx="49">
                  <c:v>18179.922052910573</c:v>
                </c:pt>
                <c:pt idx="50">
                  <c:v>17816.295791201606</c:v>
                </c:pt>
                <c:pt idx="51">
                  <c:v>17452.669529493571</c:v>
                </c:pt>
                <c:pt idx="52">
                  <c:v>17089.043267785593</c:v>
                </c:pt>
                <c:pt idx="53">
                  <c:v>16725.417006077558</c:v>
                </c:pt>
                <c:pt idx="54">
                  <c:v>16361.79074436958</c:v>
                </c:pt>
                <c:pt idx="55">
                  <c:v>15998.164482660613</c:v>
                </c:pt>
                <c:pt idx="56">
                  <c:v>15634.538220952578</c:v>
                </c:pt>
                <c:pt idx="57">
                  <c:v>15270.9119592446</c:v>
                </c:pt>
                <c:pt idx="58">
                  <c:v>14907.285697536565</c:v>
                </c:pt>
                <c:pt idx="59">
                  <c:v>14543.659435828587</c:v>
                </c:pt>
                <c:pt idx="60">
                  <c:v>14180.033174119562</c:v>
                </c:pt>
                <c:pt idx="61">
                  <c:v>13816.406912411585</c:v>
                </c:pt>
                <c:pt idx="62">
                  <c:v>13452.780650703608</c:v>
                </c:pt>
                <c:pt idx="63">
                  <c:v>13089.154388995572</c:v>
                </c:pt>
                <c:pt idx="64">
                  <c:v>12725.528127287595</c:v>
                </c:pt>
                <c:pt idx="65">
                  <c:v>12361.901865578569</c:v>
                </c:pt>
                <c:pt idx="66">
                  <c:v>11998.275603870592</c:v>
                </c:pt>
                <c:pt idx="67">
                  <c:v>11634.649342162615</c:v>
                </c:pt>
                <c:pt idx="68">
                  <c:v>11271.023080454579</c:v>
                </c:pt>
                <c:pt idx="69">
                  <c:v>10907.396818746602</c:v>
                </c:pt>
                <c:pt idx="70">
                  <c:v>10543.770557038566</c:v>
                </c:pt>
                <c:pt idx="71">
                  <c:v>10180.144295329599</c:v>
                </c:pt>
                <c:pt idx="72">
                  <c:v>9816.5180336215635</c:v>
                </c:pt>
                <c:pt idx="73">
                  <c:v>9452.8917719135861</c:v>
                </c:pt>
                <c:pt idx="74">
                  <c:v>9089.2655102056087</c:v>
                </c:pt>
                <c:pt idx="75">
                  <c:v>8725.6392484975731</c:v>
                </c:pt>
                <c:pt idx="76">
                  <c:v>8362.0129867886062</c:v>
                </c:pt>
                <c:pt idx="77">
                  <c:v>7998.3867250805706</c:v>
                </c:pt>
                <c:pt idx="78">
                  <c:v>7634.7604633725932</c:v>
                </c:pt>
                <c:pt idx="79">
                  <c:v>7271.1342016645576</c:v>
                </c:pt>
                <c:pt idx="80">
                  <c:v>6907.5079399565802</c:v>
                </c:pt>
                <c:pt idx="81">
                  <c:v>6543.8816782476133</c:v>
                </c:pt>
                <c:pt idx="82">
                  <c:v>6180.2554165395777</c:v>
                </c:pt>
                <c:pt idx="83">
                  <c:v>5816.6291548316003</c:v>
                </c:pt>
                <c:pt idx="84">
                  <c:v>5453.0028931235647</c:v>
                </c:pt>
                <c:pt idx="85">
                  <c:v>5089.3766314155873</c:v>
                </c:pt>
                <c:pt idx="86">
                  <c:v>4725.7503697065622</c:v>
                </c:pt>
                <c:pt idx="87">
                  <c:v>4362.1241079985848</c:v>
                </c:pt>
                <c:pt idx="88">
                  <c:v>3998.4978462906074</c:v>
                </c:pt>
                <c:pt idx="89">
                  <c:v>3634.8715845825718</c:v>
                </c:pt>
                <c:pt idx="90">
                  <c:v>3271.2453228745944</c:v>
                </c:pt>
                <c:pt idx="91">
                  <c:v>2907.6190611665588</c:v>
                </c:pt>
                <c:pt idx="92">
                  <c:v>2543.9927994575919</c:v>
                </c:pt>
                <c:pt idx="93">
                  <c:v>2180.3665377496145</c:v>
                </c:pt>
                <c:pt idx="94">
                  <c:v>1816.7402760415789</c:v>
                </c:pt>
                <c:pt idx="95">
                  <c:v>1453.1140143336015</c:v>
                </c:pt>
                <c:pt idx="96">
                  <c:v>1089.4877526255659</c:v>
                </c:pt>
                <c:pt idx="97">
                  <c:v>725.861490916599</c:v>
                </c:pt>
                <c:pt idx="98">
                  <c:v>362.2352292085634</c:v>
                </c:pt>
                <c:pt idx="99">
                  <c:v>-1.3910324994139955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01-4FD4-9E94-1D4DB232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5775"/>
        <c:axId val="307106367"/>
      </c:scatterChart>
      <c:valAx>
        <c:axId val="48000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capacité</a:t>
                </a:r>
                <a:r>
                  <a:rPr lang="fr-FR" baseline="0"/>
                  <a:t> (mA/h)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106367"/>
        <c:crosses val="autoZero"/>
        <c:crossBetween val="midCat"/>
      </c:valAx>
      <c:valAx>
        <c:axId val="3071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intensité</a:t>
                </a:r>
                <a:r>
                  <a:rPr lang="fr-FR" baseline="0"/>
                  <a:t> (V)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000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la tension en fonction de l'etat de charge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1.8597414412616472E-7</c:v>
                </c:pt>
                <c:pt idx="1">
                  <c:v>1.0101011941966285</c:v>
                </c:pt>
                <c:pt idx="2">
                  <c:v>2.0202022024191102</c:v>
                </c:pt>
                <c:pt idx="3">
                  <c:v>3.0303032106416055</c:v>
                </c:pt>
                <c:pt idx="4">
                  <c:v>4.0404042188640767</c:v>
                </c:pt>
                <c:pt idx="5">
                  <c:v>5.0505052270865747</c:v>
                </c:pt>
                <c:pt idx="6">
                  <c:v>6.0606062353090451</c:v>
                </c:pt>
                <c:pt idx="7">
                  <c:v>7.0707072435315155</c:v>
                </c:pt>
                <c:pt idx="8">
                  <c:v>8.0808082517540143</c:v>
                </c:pt>
                <c:pt idx="9">
                  <c:v>9.0909092599764847</c:v>
                </c:pt>
                <c:pt idx="10">
                  <c:v>10.101010268198984</c:v>
                </c:pt>
                <c:pt idx="11">
                  <c:v>11.111111276421454</c:v>
                </c:pt>
                <c:pt idx="12">
                  <c:v>12.121212284643953</c:v>
                </c:pt>
                <c:pt idx="13">
                  <c:v>13.13131329286642</c:v>
                </c:pt>
                <c:pt idx="14">
                  <c:v>14.14141430108892</c:v>
                </c:pt>
                <c:pt idx="15">
                  <c:v>15.151515309311389</c:v>
                </c:pt>
                <c:pt idx="16">
                  <c:v>16.161616317533888</c:v>
                </c:pt>
                <c:pt idx="17">
                  <c:v>17.171717325756362</c:v>
                </c:pt>
                <c:pt idx="18">
                  <c:v>18.181818333978857</c:v>
                </c:pt>
                <c:pt idx="19">
                  <c:v>19.191919342201327</c:v>
                </c:pt>
                <c:pt idx="20">
                  <c:v>20.202020350423826</c:v>
                </c:pt>
                <c:pt idx="21">
                  <c:v>21.2121213586463</c:v>
                </c:pt>
                <c:pt idx="22">
                  <c:v>22.222222366868767</c:v>
                </c:pt>
                <c:pt idx="23">
                  <c:v>23.232323375091266</c:v>
                </c:pt>
                <c:pt idx="24">
                  <c:v>24.242424383313736</c:v>
                </c:pt>
                <c:pt idx="25">
                  <c:v>25.252525391536235</c:v>
                </c:pt>
                <c:pt idx="26">
                  <c:v>26.262626399758705</c:v>
                </c:pt>
                <c:pt idx="27">
                  <c:v>27.272727407981208</c:v>
                </c:pt>
                <c:pt idx="28">
                  <c:v>28.282828416203724</c:v>
                </c:pt>
                <c:pt idx="29">
                  <c:v>29.292929424426227</c:v>
                </c:pt>
                <c:pt idx="30">
                  <c:v>30.303030432648725</c:v>
                </c:pt>
                <c:pt idx="31">
                  <c:v>31.313131440871228</c:v>
                </c:pt>
                <c:pt idx="32">
                  <c:v>32.323232449093723</c:v>
                </c:pt>
                <c:pt idx="33">
                  <c:v>33.333333457316222</c:v>
                </c:pt>
                <c:pt idx="34">
                  <c:v>34.343434465538721</c:v>
                </c:pt>
                <c:pt idx="35">
                  <c:v>35.353535473760935</c:v>
                </c:pt>
                <c:pt idx="36">
                  <c:v>36.363636481983441</c:v>
                </c:pt>
                <c:pt idx="37">
                  <c:v>37.37373749020594</c:v>
                </c:pt>
                <c:pt idx="38">
                  <c:v>38.383838498428432</c:v>
                </c:pt>
                <c:pt idx="39">
                  <c:v>39.393939506650938</c:v>
                </c:pt>
                <c:pt idx="40">
                  <c:v>40.404040514873437</c:v>
                </c:pt>
                <c:pt idx="41">
                  <c:v>41.414141523095928</c:v>
                </c:pt>
                <c:pt idx="42">
                  <c:v>42.424242531318427</c:v>
                </c:pt>
                <c:pt idx="43">
                  <c:v>43.434343539540926</c:v>
                </c:pt>
                <c:pt idx="44">
                  <c:v>44.444444547763432</c:v>
                </c:pt>
                <c:pt idx="45">
                  <c:v>45.454545555985923</c:v>
                </c:pt>
                <c:pt idx="46">
                  <c:v>46.464646564208429</c:v>
                </c:pt>
                <c:pt idx="47">
                  <c:v>47.474747572430928</c:v>
                </c:pt>
                <c:pt idx="48">
                  <c:v>48.48484858065342</c:v>
                </c:pt>
                <c:pt idx="49">
                  <c:v>49.494949588875912</c:v>
                </c:pt>
                <c:pt idx="50">
                  <c:v>50.50505059709841</c:v>
                </c:pt>
                <c:pt idx="51">
                  <c:v>51.515151605320916</c:v>
                </c:pt>
                <c:pt idx="52">
                  <c:v>52.525252613543415</c:v>
                </c:pt>
                <c:pt idx="53">
                  <c:v>53.535353621765914</c:v>
                </c:pt>
                <c:pt idx="54">
                  <c:v>54.545454629988136</c:v>
                </c:pt>
                <c:pt idx="55">
                  <c:v>55.555555638210627</c:v>
                </c:pt>
                <c:pt idx="56">
                  <c:v>56.565656646433126</c:v>
                </c:pt>
                <c:pt idx="57">
                  <c:v>57.575757654655625</c:v>
                </c:pt>
                <c:pt idx="58">
                  <c:v>58.585858662878124</c:v>
                </c:pt>
                <c:pt idx="59">
                  <c:v>59.59595967110063</c:v>
                </c:pt>
                <c:pt idx="60">
                  <c:v>60.606060679323129</c:v>
                </c:pt>
                <c:pt idx="61">
                  <c:v>61.61616168754562</c:v>
                </c:pt>
                <c:pt idx="62">
                  <c:v>62.626262695768119</c:v>
                </c:pt>
                <c:pt idx="63">
                  <c:v>63.636363703990618</c:v>
                </c:pt>
                <c:pt idx="64">
                  <c:v>64.646464712213117</c:v>
                </c:pt>
                <c:pt idx="65">
                  <c:v>65.656565720435609</c:v>
                </c:pt>
                <c:pt idx="66">
                  <c:v>66.666666728658114</c:v>
                </c:pt>
                <c:pt idx="67">
                  <c:v>67.676767736880606</c:v>
                </c:pt>
                <c:pt idx="68">
                  <c:v>68.686868745103098</c:v>
                </c:pt>
                <c:pt idx="69">
                  <c:v>69.696969753325604</c:v>
                </c:pt>
                <c:pt idx="70">
                  <c:v>70.70707076154811</c:v>
                </c:pt>
                <c:pt idx="71">
                  <c:v>71.717171769770601</c:v>
                </c:pt>
                <c:pt idx="72">
                  <c:v>72.727272777993107</c:v>
                </c:pt>
                <c:pt idx="73">
                  <c:v>73.737373786215315</c:v>
                </c:pt>
                <c:pt idx="74">
                  <c:v>74.747474794437821</c:v>
                </c:pt>
                <c:pt idx="75">
                  <c:v>75.757575802660313</c:v>
                </c:pt>
                <c:pt idx="76">
                  <c:v>76.767676810882818</c:v>
                </c:pt>
                <c:pt idx="77">
                  <c:v>77.777777819105324</c:v>
                </c:pt>
                <c:pt idx="78">
                  <c:v>78.787878827327816</c:v>
                </c:pt>
                <c:pt idx="79">
                  <c:v>79.797979835550308</c:v>
                </c:pt>
                <c:pt idx="80">
                  <c:v>80.808080843772814</c:v>
                </c:pt>
                <c:pt idx="81">
                  <c:v>81.818181851995305</c:v>
                </c:pt>
                <c:pt idx="82">
                  <c:v>82.828282860217811</c:v>
                </c:pt>
                <c:pt idx="83">
                  <c:v>83.838383868440317</c:v>
                </c:pt>
                <c:pt idx="84">
                  <c:v>84.848484876662809</c:v>
                </c:pt>
                <c:pt idx="85">
                  <c:v>85.858585884885315</c:v>
                </c:pt>
                <c:pt idx="86">
                  <c:v>86.868686893107792</c:v>
                </c:pt>
                <c:pt idx="87">
                  <c:v>87.878787901330284</c:v>
                </c:pt>
                <c:pt idx="88">
                  <c:v>88.888888909552804</c:v>
                </c:pt>
                <c:pt idx="89">
                  <c:v>89.898989917775296</c:v>
                </c:pt>
                <c:pt idx="90">
                  <c:v>90.909090925997788</c:v>
                </c:pt>
                <c:pt idx="91">
                  <c:v>91.919191934220009</c:v>
                </c:pt>
                <c:pt idx="92">
                  <c:v>92.929292942442515</c:v>
                </c:pt>
                <c:pt idx="93">
                  <c:v>93.939393950665021</c:v>
                </c:pt>
                <c:pt idx="94">
                  <c:v>94.949494958887499</c:v>
                </c:pt>
                <c:pt idx="95">
                  <c:v>95.959595967110005</c:v>
                </c:pt>
                <c:pt idx="96">
                  <c:v>96.969696975332496</c:v>
                </c:pt>
                <c:pt idx="97">
                  <c:v>97.979797983555002</c:v>
                </c:pt>
                <c:pt idx="98">
                  <c:v>98.989898991777508</c:v>
                </c:pt>
                <c:pt idx="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F-4B0F-9323-BAFD469D6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77712"/>
        <c:axId val="171080048"/>
      </c:scatterChart>
      <c:valAx>
        <c:axId val="25507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080048"/>
        <c:crosses val="autoZero"/>
        <c:crossBetween val="midCat"/>
      </c:valAx>
      <c:valAx>
        <c:axId val="1710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07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  <a:p>
            <a:pPr>
              <a:defRPr/>
            </a:pPr>
            <a:endParaRPr lang="fr-FR"/>
          </a:p>
          <a:p>
            <a:pPr>
              <a:defRPr/>
            </a:pPr>
            <a:endParaRPr lang="fr-FR"/>
          </a:p>
          <a:p>
            <a:pPr>
              <a:defRPr/>
            </a:pPr>
            <a:endParaRPr lang="fr-FR"/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Sheet1!$D$2:$D$101</c:f>
              <c:numCache>
                <c:formatCode>General</c:formatCode>
                <c:ptCount val="100"/>
                <c:pt idx="0">
                  <c:v>6.6948832099456013E-5</c:v>
                </c:pt>
                <c:pt idx="1">
                  <c:v>363.62632865702705</c:v>
                </c:pt>
                <c:pt idx="2">
                  <c:v>727.25259036522107</c:v>
                </c:pt>
                <c:pt idx="3">
                  <c:v>1090.8788520734199</c:v>
                </c:pt>
                <c:pt idx="4">
                  <c:v>1454.5051137816101</c:v>
                </c:pt>
                <c:pt idx="5">
                  <c:v>1818.1313754898101</c:v>
                </c:pt>
                <c:pt idx="6">
                  <c:v>2181.7576371979999</c:v>
                </c:pt>
                <c:pt idx="7">
                  <c:v>2545.3838989061901</c:v>
                </c:pt>
                <c:pt idx="8">
                  <c:v>2909.0101606143899</c:v>
                </c:pt>
                <c:pt idx="9">
                  <c:v>3272.6364223225801</c:v>
                </c:pt>
                <c:pt idx="10">
                  <c:v>3636.2626840307798</c:v>
                </c:pt>
                <c:pt idx="11">
                  <c:v>3999.8889457389701</c:v>
                </c:pt>
                <c:pt idx="12">
                  <c:v>4363.5152074471698</c:v>
                </c:pt>
                <c:pt idx="13">
                  <c:v>4727.1414691553591</c:v>
                </c:pt>
                <c:pt idx="14">
                  <c:v>5090.7677308635593</c:v>
                </c:pt>
                <c:pt idx="15">
                  <c:v>5454.3939925717495</c:v>
                </c:pt>
                <c:pt idx="16">
                  <c:v>5818.0202542799498</c:v>
                </c:pt>
                <c:pt idx="17">
                  <c:v>6181.64651598814</c:v>
                </c:pt>
                <c:pt idx="18">
                  <c:v>6545.2727776963393</c:v>
                </c:pt>
                <c:pt idx="19">
                  <c:v>6908.8990394045295</c:v>
                </c:pt>
                <c:pt idx="20">
                  <c:v>7272.5253011127297</c:v>
                </c:pt>
                <c:pt idx="21">
                  <c:v>7636.1515628209199</c:v>
                </c:pt>
                <c:pt idx="22">
                  <c:v>7999.7778245291092</c:v>
                </c:pt>
                <c:pt idx="23">
                  <c:v>8363.4040862373095</c:v>
                </c:pt>
                <c:pt idx="24">
                  <c:v>8727.0303479454997</c:v>
                </c:pt>
                <c:pt idx="25">
                  <c:v>9090.656609653699</c:v>
                </c:pt>
                <c:pt idx="26">
                  <c:v>9454.2828713618892</c:v>
                </c:pt>
                <c:pt idx="27">
                  <c:v>9817.9091330700903</c:v>
                </c:pt>
                <c:pt idx="28">
                  <c:v>10181.535394778299</c:v>
                </c:pt>
                <c:pt idx="29">
                  <c:v>10545.1616564865</c:v>
                </c:pt>
                <c:pt idx="30">
                  <c:v>10908.787918194699</c:v>
                </c:pt>
                <c:pt idx="31">
                  <c:v>11272.4141799029</c:v>
                </c:pt>
                <c:pt idx="32">
                  <c:v>11636.0404416111</c:v>
                </c:pt>
                <c:pt idx="33">
                  <c:v>11999.666703319299</c:v>
                </c:pt>
                <c:pt idx="34">
                  <c:v>12363.2929650275</c:v>
                </c:pt>
                <c:pt idx="35">
                  <c:v>12726.919226735599</c:v>
                </c:pt>
                <c:pt idx="36">
                  <c:v>13090.5454884438</c:v>
                </c:pt>
                <c:pt idx="37">
                  <c:v>13454.171750152</c:v>
                </c:pt>
                <c:pt idx="38">
                  <c:v>13817.798011860199</c:v>
                </c:pt>
                <c:pt idx="39">
                  <c:v>14181.4242735684</c:v>
                </c:pt>
                <c:pt idx="40">
                  <c:v>14545.050535276599</c:v>
                </c:pt>
                <c:pt idx="41">
                  <c:v>14908.676796984799</c:v>
                </c:pt>
                <c:pt idx="42">
                  <c:v>15272.303058693</c:v>
                </c:pt>
                <c:pt idx="43">
                  <c:v>15635.929320401199</c:v>
                </c:pt>
                <c:pt idx="44">
                  <c:v>15999.5555821094</c:v>
                </c:pt>
                <c:pt idx="45">
                  <c:v>16363.1818438176</c:v>
                </c:pt>
                <c:pt idx="46">
                  <c:v>16726.808105525801</c:v>
                </c:pt>
                <c:pt idx="47">
                  <c:v>17090.434367234</c:v>
                </c:pt>
                <c:pt idx="48">
                  <c:v>17454.060628942199</c:v>
                </c:pt>
                <c:pt idx="49">
                  <c:v>17817.686890650399</c:v>
                </c:pt>
                <c:pt idx="50">
                  <c:v>18181.313152358598</c:v>
                </c:pt>
                <c:pt idx="51">
                  <c:v>18544.939414066801</c:v>
                </c:pt>
                <c:pt idx="52">
                  <c:v>18908.565675775</c:v>
                </c:pt>
                <c:pt idx="53">
                  <c:v>19272.1919374832</c:v>
                </c:pt>
                <c:pt idx="54">
                  <c:v>19635.818199191301</c:v>
                </c:pt>
                <c:pt idx="55">
                  <c:v>19999.4444608995</c:v>
                </c:pt>
                <c:pt idx="56">
                  <c:v>20363.070722607699</c:v>
                </c:pt>
                <c:pt idx="57">
                  <c:v>20726.696984315899</c:v>
                </c:pt>
                <c:pt idx="58">
                  <c:v>21090.323246024098</c:v>
                </c:pt>
                <c:pt idx="59">
                  <c:v>21453.949507732301</c:v>
                </c:pt>
                <c:pt idx="60">
                  <c:v>21817.5757694405</c:v>
                </c:pt>
                <c:pt idx="61">
                  <c:v>22181.202031148699</c:v>
                </c:pt>
                <c:pt idx="62">
                  <c:v>22544.828292856899</c:v>
                </c:pt>
                <c:pt idx="63">
                  <c:v>22908.454554565098</c:v>
                </c:pt>
                <c:pt idx="64">
                  <c:v>23272.080816273301</c:v>
                </c:pt>
                <c:pt idx="65">
                  <c:v>23635.7070779815</c:v>
                </c:pt>
                <c:pt idx="66">
                  <c:v>23999.3333396897</c:v>
                </c:pt>
                <c:pt idx="67">
                  <c:v>24362.959601397899</c:v>
                </c:pt>
                <c:pt idx="68">
                  <c:v>24726.585863106098</c:v>
                </c:pt>
                <c:pt idx="69">
                  <c:v>25090.212124814301</c:v>
                </c:pt>
                <c:pt idx="70">
                  <c:v>25453.838386522501</c:v>
                </c:pt>
                <c:pt idx="71">
                  <c:v>25817.4646482307</c:v>
                </c:pt>
                <c:pt idx="72">
                  <c:v>26181.090909938899</c:v>
                </c:pt>
                <c:pt idx="73">
                  <c:v>26544.717171647</c:v>
                </c:pt>
                <c:pt idx="74">
                  <c:v>26908.3434333552</c:v>
                </c:pt>
                <c:pt idx="75">
                  <c:v>27271.969695063399</c:v>
                </c:pt>
                <c:pt idx="76">
                  <c:v>27635.595956771598</c:v>
                </c:pt>
                <c:pt idx="77">
                  <c:v>27999.222218479801</c:v>
                </c:pt>
                <c:pt idx="78">
                  <c:v>28362.848480188</c:v>
                </c:pt>
                <c:pt idx="79">
                  <c:v>28726.4747418962</c:v>
                </c:pt>
                <c:pt idx="80">
                  <c:v>29090.101003604399</c:v>
                </c:pt>
                <c:pt idx="81">
                  <c:v>29453.727265312598</c:v>
                </c:pt>
                <c:pt idx="82">
                  <c:v>29817.353527020801</c:v>
                </c:pt>
                <c:pt idx="83">
                  <c:v>30180.979788729001</c:v>
                </c:pt>
                <c:pt idx="84">
                  <c:v>30544.6060504372</c:v>
                </c:pt>
                <c:pt idx="85">
                  <c:v>30908.232312145399</c:v>
                </c:pt>
                <c:pt idx="86">
                  <c:v>31271.858573853599</c:v>
                </c:pt>
                <c:pt idx="87">
                  <c:v>31635.484835561798</c:v>
                </c:pt>
                <c:pt idx="88">
                  <c:v>31999.111097270001</c:v>
                </c:pt>
                <c:pt idx="89">
                  <c:v>32362.7373589782</c:v>
                </c:pt>
                <c:pt idx="90">
                  <c:v>32726.363620686399</c:v>
                </c:pt>
                <c:pt idx="91">
                  <c:v>33089.989882394497</c:v>
                </c:pt>
                <c:pt idx="92">
                  <c:v>33453.6161441027</c:v>
                </c:pt>
                <c:pt idx="93">
                  <c:v>33817.242405810903</c:v>
                </c:pt>
                <c:pt idx="94">
                  <c:v>34180.868667519098</c:v>
                </c:pt>
                <c:pt idx="95">
                  <c:v>34544.494929227301</c:v>
                </c:pt>
                <c:pt idx="96">
                  <c:v>34908.121190935497</c:v>
                </c:pt>
                <c:pt idx="97">
                  <c:v>35271.7474526437</c:v>
                </c:pt>
                <c:pt idx="98">
                  <c:v>35635.373714351903</c:v>
                </c:pt>
                <c:pt idx="99">
                  <c:v>35998.999976060099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7F-4AF8-B7D2-1BCBDDA6B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71712"/>
        <c:axId val="163509280"/>
      </c:scatterChart>
      <c:valAx>
        <c:axId val="2550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509280"/>
        <c:crosses val="autoZero"/>
        <c:crossBetween val="midCat"/>
      </c:valAx>
      <c:valAx>
        <c:axId val="1635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07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443345</xdr:colOff>
      <xdr:row>102</xdr:row>
      <xdr:rowOff>13853</xdr:rowOff>
    </xdr:from>
    <xdr:to>
      <xdr:col>18</xdr:col>
      <xdr:colOff>277090</xdr:colOff>
      <xdr:row>120</xdr:row>
      <xdr:rowOff>96981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1B322CE-C3AF-4607-AC0F-7FE402A99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415638</xdr:colOff>
      <xdr:row>102</xdr:row>
      <xdr:rowOff>41561</xdr:rowOff>
    </xdr:from>
    <xdr:to>
      <xdr:col>24</xdr:col>
      <xdr:colOff>221674</xdr:colOff>
      <xdr:row>121</xdr:row>
      <xdr:rowOff>124691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4563C2-A072-4A65-A33C-F31027BEB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457199</xdr:colOff>
      <xdr:row>121</xdr:row>
      <xdr:rowOff>41564</xdr:rowOff>
    </xdr:from>
    <xdr:to>
      <xdr:col>18</xdr:col>
      <xdr:colOff>290944</xdr:colOff>
      <xdr:row>140</xdr:row>
      <xdr:rowOff>55418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647C0EA-CCCF-4057-9C83-8C2FAE08D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429490</xdr:colOff>
      <xdr:row>122</xdr:row>
      <xdr:rowOff>69271</xdr:rowOff>
    </xdr:from>
    <xdr:to>
      <xdr:col>24</xdr:col>
      <xdr:colOff>318654</xdr:colOff>
      <xdr:row>139</xdr:row>
      <xdr:rowOff>138544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BCC6481-2A87-4F00-AEC9-837508C31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401782</xdr:colOff>
      <xdr:row>115</xdr:row>
      <xdr:rowOff>-1</xdr:rowOff>
    </xdr:from>
    <xdr:to>
      <xdr:col>30</xdr:col>
      <xdr:colOff>332509</xdr:colOff>
      <xdr:row>131</xdr:row>
      <xdr:rowOff>166254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E3A64D0-0F36-45FA-8192-1DCAC7978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41563</xdr:rowOff>
    </xdr:from>
    <xdr:to>
      <xdr:col>11</xdr:col>
      <xdr:colOff>761999</xdr:colOff>
      <xdr:row>126</xdr:row>
      <xdr:rowOff>69271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D9E0B89-2C03-4DF1-8420-E9394A586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126</xdr:row>
      <xdr:rowOff>96981</xdr:rowOff>
    </xdr:from>
    <xdr:to>
      <xdr:col>11</xdr:col>
      <xdr:colOff>748144</xdr:colOff>
      <xdr:row>151</xdr:row>
      <xdr:rowOff>83127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727A605-DFCF-4B7E-8F19-635D775DD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546653</xdr:colOff>
      <xdr:row>142</xdr:row>
      <xdr:rowOff>144117</xdr:rowOff>
    </xdr:from>
    <xdr:to>
      <xdr:col>18</xdr:col>
      <xdr:colOff>347870</xdr:colOff>
      <xdr:row>159</xdr:row>
      <xdr:rowOff>71230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BAC45D-6579-4055-A266-6C87FC02D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327660</xdr:colOff>
      <xdr:row>143</xdr:row>
      <xdr:rowOff>11974</xdr:rowOff>
    </xdr:from>
    <xdr:to>
      <xdr:col>25</xdr:col>
      <xdr:colOff>144780</xdr:colOff>
      <xdr:row>159</xdr:row>
      <xdr:rowOff>72934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57FEE6B-00E9-43B7-B9C0-C92643631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"/>
  <sheetViews>
    <sheetView tabSelected="1" zoomScale="70" zoomScaleNormal="70" workbookViewId="0">
      <selection activeCell="D4" sqref="D4"/>
    </sheetView>
  </sheetViews>
  <sheetFormatPr baseColWidth="10" defaultColWidth="11.5546875" defaultRowHeight="13.2" x14ac:dyDescent="0.25"/>
  <cols>
    <col min="4" max="4" width="12.33203125" bestFit="1" customWidth="1"/>
    <col min="5" max="5" width="13.44140625" bestFit="1" customWidth="1"/>
  </cols>
  <sheetData>
    <row r="1" spans="1:41" ht="13.8" thickBot="1" x14ac:dyDescent="0.3">
      <c r="B1" s="2" t="s">
        <v>0</v>
      </c>
      <c r="C1" s="3" t="s">
        <v>1</v>
      </c>
      <c r="D1" s="1" t="s">
        <v>20</v>
      </c>
      <c r="E1" s="21" t="s">
        <v>30</v>
      </c>
      <c r="F1" s="4" t="s">
        <v>2</v>
      </c>
      <c r="G1" s="18" t="s">
        <v>3</v>
      </c>
      <c r="H1" s="19" t="s">
        <v>21</v>
      </c>
      <c r="I1" s="23" t="s">
        <v>39</v>
      </c>
      <c r="J1" s="7" t="s">
        <v>4</v>
      </c>
      <c r="K1" s="7" t="s">
        <v>5</v>
      </c>
      <c r="L1" s="8" t="s">
        <v>22</v>
      </c>
      <c r="M1" s="21" t="s">
        <v>31</v>
      </c>
      <c r="N1" s="4" t="s">
        <v>6</v>
      </c>
      <c r="O1" s="5" t="s">
        <v>7</v>
      </c>
      <c r="P1" s="6" t="s">
        <v>23</v>
      </c>
      <c r="Q1" s="23" t="s">
        <v>40</v>
      </c>
      <c r="R1" s="2" t="s">
        <v>8</v>
      </c>
      <c r="S1" s="7" t="s">
        <v>9</v>
      </c>
      <c r="T1" s="8" t="s">
        <v>24</v>
      </c>
      <c r="U1" s="21" t="s">
        <v>32</v>
      </c>
      <c r="V1" s="4" t="s">
        <v>10</v>
      </c>
      <c r="W1" s="5" t="s">
        <v>11</v>
      </c>
      <c r="X1" s="6" t="s">
        <v>25</v>
      </c>
      <c r="Y1" s="23" t="s">
        <v>36</v>
      </c>
      <c r="Z1" s="2" t="s">
        <v>12</v>
      </c>
      <c r="AA1" s="7" t="s">
        <v>13</v>
      </c>
      <c r="AB1" s="8" t="s">
        <v>26</v>
      </c>
      <c r="AC1" s="21" t="s">
        <v>33</v>
      </c>
      <c r="AD1" s="4" t="s">
        <v>14</v>
      </c>
      <c r="AE1" s="5" t="s">
        <v>15</v>
      </c>
      <c r="AF1" s="6" t="s">
        <v>27</v>
      </c>
      <c r="AG1" s="23" t="s">
        <v>37</v>
      </c>
      <c r="AH1" s="2" t="s">
        <v>16</v>
      </c>
      <c r="AI1" s="7" t="s">
        <v>17</v>
      </c>
      <c r="AJ1" s="8" t="s">
        <v>28</v>
      </c>
      <c r="AK1" s="21" t="s">
        <v>34</v>
      </c>
      <c r="AL1" s="4" t="s">
        <v>18</v>
      </c>
      <c r="AM1" s="5" t="s">
        <v>19</v>
      </c>
      <c r="AN1" s="8" t="s">
        <v>29</v>
      </c>
      <c r="AO1" s="23" t="s">
        <v>38</v>
      </c>
    </row>
    <row r="2" spans="1:41" x14ac:dyDescent="0.25">
      <c r="A2" s="9">
        <v>0</v>
      </c>
      <c r="B2" s="10">
        <v>20.2664669488321</v>
      </c>
      <c r="C2" s="11">
        <v>3.04962158203125</v>
      </c>
      <c r="D2" s="14">
        <f>1*(B2-20.2664)</f>
        <v>6.6948832099456013E-5</v>
      </c>
      <c r="E2" s="22">
        <f>(D2/$D$101)*100</f>
        <v>1.8597414412616472E-7</v>
      </c>
      <c r="F2" s="13">
        <v>36023.961866048201</v>
      </c>
      <c r="G2" s="13">
        <v>3.20648193359375</v>
      </c>
      <c r="H2" s="20">
        <f>$D$101-1*(F2-36023)</f>
        <v>35998.038110011898</v>
      </c>
      <c r="I2" s="24">
        <f>(H2/$H$2)*100</f>
        <v>100</v>
      </c>
      <c r="J2" s="11">
        <v>72028.995598144305</v>
      </c>
      <c r="K2" s="11">
        <v>2.89794921875</v>
      </c>
      <c r="L2" s="14">
        <f>$H$101+1*(J2-72028.99)</f>
        <v>-0.95620095510821557</v>
      </c>
      <c r="M2" s="22">
        <f>(L2/$L$101)*100</f>
        <v>-2.6562581090803987E-3</v>
      </c>
      <c r="N2" s="13">
        <v>108032.376905244</v>
      </c>
      <c r="O2" s="13">
        <v>3.2061767578125</v>
      </c>
      <c r="P2" s="12">
        <f>$L$101-1*(N2-108032)</f>
        <v>35997.666802912579</v>
      </c>
      <c r="Q2" s="24">
        <f>(P2/$P$2)*100</f>
        <v>100</v>
      </c>
      <c r="R2" s="10">
        <v>144037.75662433999</v>
      </c>
      <c r="S2" s="11">
        <v>2.9010009765625</v>
      </c>
      <c r="T2" s="14">
        <f>$P$101+1*(R2-144037.75)</f>
        <v>-1.3264818594107055</v>
      </c>
      <c r="U2" s="22">
        <f>(T2/$T$101)*100</f>
        <v>-3.6849099764500572E-3</v>
      </c>
      <c r="V2" s="13">
        <v>180041.14793244001</v>
      </c>
      <c r="W2" s="13">
        <v>3.20709228515625</v>
      </c>
      <c r="X2" s="12">
        <f>$T$101-1*(V2-180041)</f>
        <v>35997.525494811583</v>
      </c>
      <c r="Y2" s="24">
        <f>(X2/$X$2)*100</f>
        <v>100</v>
      </c>
      <c r="Z2" s="10">
        <v>216046.54665853499</v>
      </c>
      <c r="AA2" s="11">
        <v>2.904052734375</v>
      </c>
      <c r="AB2" s="14">
        <f>$X$101+1*(Z2-216046.5)</f>
        <v>-1.4277557644018088</v>
      </c>
      <c r="AC2" s="22">
        <f>(AB2/$AB$101)*100</f>
        <v>-3.9662557194682195E-3</v>
      </c>
      <c r="AD2" s="13">
        <v>252049.97396763499</v>
      </c>
      <c r="AE2" s="13">
        <v>3.21014404296875</v>
      </c>
      <c r="AF2" s="12">
        <f>$AB$101-1*(AD2-252049.97)</f>
        <v>35997.568185711621</v>
      </c>
      <c r="AG2" s="24" t="s">
        <v>41</v>
      </c>
      <c r="AH2" s="10">
        <v>288055.55969672999</v>
      </c>
      <c r="AI2" s="11">
        <v>2.90679931640625</v>
      </c>
      <c r="AJ2" s="14">
        <f>$AF$101+1*(AH2-288055.5)</f>
        <v>-1.3720266694217571</v>
      </c>
      <c r="AK2" s="22">
        <f>AI2/3.25</f>
        <v>0.89439978966346156</v>
      </c>
      <c r="AL2" s="13">
        <v>324059.01900582999</v>
      </c>
      <c r="AM2" s="13">
        <v>3.21624755859375</v>
      </c>
      <c r="AN2" s="14">
        <f>$AJ$101-1*(AL2-324059)</f>
        <v>35997.608876611594</v>
      </c>
      <c r="AO2" s="24"/>
    </row>
    <row r="3" spans="1:41" x14ac:dyDescent="0.25">
      <c r="A3" s="9">
        <v>1</v>
      </c>
      <c r="B3" s="10">
        <v>383.89272865702702</v>
      </c>
      <c r="C3" s="11">
        <v>3.1451416015625</v>
      </c>
      <c r="D3" s="14">
        <f t="shared" ref="D3:D66" si="0">1*(B3-20.2664)</f>
        <v>363.62632865702705</v>
      </c>
      <c r="E3" s="22">
        <f t="shared" ref="E3:E66" si="1">(D3/$D$101)*100</f>
        <v>1.0101011941966285</v>
      </c>
      <c r="F3" s="13">
        <v>36387.588127756397</v>
      </c>
      <c r="G3" s="13">
        <v>3.14178466796875</v>
      </c>
      <c r="H3" s="20">
        <f>$D$101-1*(F3-36023)</f>
        <v>35634.411848303702</v>
      </c>
      <c r="I3" s="24">
        <f t="shared" ref="I3:I66" si="2">(H3/$H$2)*100</f>
        <v>98.989872001921512</v>
      </c>
      <c r="J3" s="11">
        <v>72392.621859852501</v>
      </c>
      <c r="K3" s="11">
        <v>2.9701988143150202</v>
      </c>
      <c r="L3" s="14">
        <f>$H$101+1*(J3-72028.99)</f>
        <v>362.67006075308745</v>
      </c>
      <c r="M3" s="22">
        <f t="shared" ref="M3:M66" si="3">(L3/$L$101)*100</f>
        <v>1.0074715828819114</v>
      </c>
      <c r="N3" s="13">
        <v>108396.003166952</v>
      </c>
      <c r="O3" s="13">
        <v>3.14178466796875</v>
      </c>
      <c r="P3" s="12">
        <f>$L$101-1*(N3-108032)</f>
        <v>35634.040541204587</v>
      </c>
      <c r="Q3" s="24">
        <f t="shared" ref="Q3:Q66" si="4">(P3/$P$2)*100</f>
        <v>98.98986158269966</v>
      </c>
      <c r="R3" s="10">
        <v>144401.382886048</v>
      </c>
      <c r="S3" s="11">
        <v>2.9752727470012101</v>
      </c>
      <c r="T3" s="14">
        <f>$P$101+1*(R3-144037.75)</f>
        <v>362.29977984859579</v>
      </c>
      <c r="U3" s="22">
        <f t="shared" ref="U3:U66" si="5">(T3/$T$101)*100</f>
        <v>1.0064533214369382</v>
      </c>
      <c r="V3" s="13">
        <v>180404.77419414799</v>
      </c>
      <c r="W3" s="13">
        <v>3.1415935477824601</v>
      </c>
      <c r="X3" s="12">
        <f>$T$101-1*(V3-180041)</f>
        <v>35633.899233103606</v>
      </c>
      <c r="Y3" s="24">
        <f t="shared" ref="Y3:Y66" si="6">(X3/$X$2)*100</f>
        <v>98.989857617406543</v>
      </c>
      <c r="Z3" s="10">
        <v>216410.172920243</v>
      </c>
      <c r="AA3" s="11">
        <v>2.9822917899699601</v>
      </c>
      <c r="AB3" s="14">
        <f>$X$101+1*(Z3-216046.5)</f>
        <v>362.19850594360469</v>
      </c>
      <c r="AC3" s="22">
        <f t="shared" ref="AC3:AC66" si="7">(AB3/$AB$101)*100</f>
        <v>1.0061748175701122</v>
      </c>
      <c r="AD3" s="13">
        <v>252413.60022934299</v>
      </c>
      <c r="AE3" s="13">
        <v>3.14300537109375</v>
      </c>
      <c r="AF3" s="12">
        <f>$AB$101-1*(AD3-252049.97)</f>
        <v>35633.941924003615</v>
      </c>
      <c r="AG3" s="24">
        <f t="shared" ref="AG3:AG66" si="8">(AF3/$AF$2)*100</f>
        <v>98.98985881537314</v>
      </c>
      <c r="AH3" s="10">
        <v>288419.18595843803</v>
      </c>
      <c r="AI3" s="11">
        <v>2.98736572265625</v>
      </c>
      <c r="AJ3" s="14">
        <f>$AF$101+1*(AH3-288055.5)</f>
        <v>362.25423503861384</v>
      </c>
      <c r="AK3" s="22">
        <f t="shared" ref="AK3:AK66" si="9">AI3/3.25</f>
        <v>0.919189453125</v>
      </c>
      <c r="AL3" s="13">
        <v>324422.64526753803</v>
      </c>
      <c r="AM3" s="13">
        <v>3.14605712890625</v>
      </c>
      <c r="AN3" s="14">
        <f>$AJ$101-1*(AL3-324059)</f>
        <v>35633.982614903558</v>
      </c>
      <c r="AO3" s="24"/>
    </row>
    <row r="4" spans="1:41" x14ac:dyDescent="0.25">
      <c r="A4" s="9">
        <v>2</v>
      </c>
      <c r="B4" s="10">
        <v>747.51899036522104</v>
      </c>
      <c r="C4" s="11">
        <v>3.15406876380997</v>
      </c>
      <c r="D4" s="14">
        <f t="shared" si="0"/>
        <v>727.25259036522107</v>
      </c>
      <c r="E4" s="22">
        <f t="shared" si="1"/>
        <v>2.0202022024191102</v>
      </c>
      <c r="F4" s="13">
        <v>36751.2143894646</v>
      </c>
      <c r="G4" s="13">
        <v>3.11332625572128</v>
      </c>
      <c r="H4" s="20">
        <f>$D$101-1*(F4-36023)</f>
        <v>35270.785586595499</v>
      </c>
      <c r="I4" s="24">
        <f t="shared" si="2"/>
        <v>97.979744003842995</v>
      </c>
      <c r="J4" s="11">
        <v>72756.248121560697</v>
      </c>
      <c r="K4" s="11">
        <v>3.00201416015625</v>
      </c>
      <c r="L4" s="14">
        <f>$H$101+1*(J4-72028.99)</f>
        <v>726.29632246128313</v>
      </c>
      <c r="M4" s="22">
        <f t="shared" si="3"/>
        <v>2.0175994238729031</v>
      </c>
      <c r="N4" s="13">
        <v>108759.62942866</v>
      </c>
      <c r="O4" s="13">
        <v>3.11370849609375</v>
      </c>
      <c r="P4" s="12">
        <f>$L$101-1*(N4-108032)</f>
        <v>35270.414279496581</v>
      </c>
      <c r="Q4" s="24">
        <f t="shared" si="4"/>
        <v>97.979723165399278</v>
      </c>
      <c r="R4" s="10">
        <v>144765.00914775601</v>
      </c>
      <c r="S4" s="11">
        <v>3.0065147322836698</v>
      </c>
      <c r="T4" s="14">
        <f>$P$101+1*(R4-144037.75)</f>
        <v>725.92604155660229</v>
      </c>
      <c r="U4" s="22">
        <f t="shared" si="5"/>
        <v>2.0165915528503264</v>
      </c>
      <c r="V4" s="13">
        <v>180768.400455856</v>
      </c>
      <c r="W4" s="13">
        <v>3.1134033203125</v>
      </c>
      <c r="X4" s="12">
        <f>$T$101-1*(V4-180041)</f>
        <v>35270.2729713956</v>
      </c>
      <c r="Y4" s="24">
        <f t="shared" si="6"/>
        <v>97.979715234813</v>
      </c>
      <c r="Z4" s="10">
        <v>216773.79918195101</v>
      </c>
      <c r="AA4" s="11">
        <v>3.0136077572596598</v>
      </c>
      <c r="AB4" s="14">
        <f>$X$101+1*(Z4-216046.5)</f>
        <v>725.82476765161118</v>
      </c>
      <c r="AC4" s="22">
        <f t="shared" si="7"/>
        <v>2.0163158908596923</v>
      </c>
      <c r="AD4" s="13">
        <v>252777.226491051</v>
      </c>
      <c r="AE4" s="13">
        <v>3.11370849609375</v>
      </c>
      <c r="AF4" s="12">
        <f>$AB$101-1*(AD4-252049.97)</f>
        <v>35270.315662295608</v>
      </c>
      <c r="AG4" s="24">
        <f t="shared" si="8"/>
        <v>97.979717630746293</v>
      </c>
      <c r="AH4" s="10">
        <v>288782.81222014601</v>
      </c>
      <c r="AI4" s="11">
        <v>3.0181884765625</v>
      </c>
      <c r="AJ4" s="14">
        <f>$AF$101+1*(AH4-288055.5)</f>
        <v>725.88049674659123</v>
      </c>
      <c r="AK4" s="22">
        <f t="shared" si="9"/>
        <v>0.92867337740384615</v>
      </c>
      <c r="AL4" s="13">
        <v>324786.27152924601</v>
      </c>
      <c r="AM4" s="13">
        <v>3.11492919921875</v>
      </c>
      <c r="AN4" s="14">
        <f>$AJ$101-1*(AL4-324059)</f>
        <v>35270.356353195581</v>
      </c>
      <c r="AO4" s="24"/>
    </row>
    <row r="5" spans="1:41" x14ac:dyDescent="0.25">
      <c r="A5" s="9">
        <v>3</v>
      </c>
      <c r="B5" s="10">
        <v>1111.1452520734199</v>
      </c>
      <c r="C5" s="11">
        <v>3.15643310546875</v>
      </c>
      <c r="D5" s="14">
        <f t="shared" si="0"/>
        <v>1090.8788520734199</v>
      </c>
      <c r="E5" s="22">
        <f t="shared" si="1"/>
        <v>3.0303032106416055</v>
      </c>
      <c r="F5" s="13">
        <v>37114.840651172803</v>
      </c>
      <c r="G5" s="13">
        <v>3.0914306640625</v>
      </c>
      <c r="H5" s="20">
        <f>$D$101-1*(F5-36023)</f>
        <v>34907.159324887296</v>
      </c>
      <c r="I5" s="24">
        <f t="shared" si="2"/>
        <v>96.969616005764479</v>
      </c>
      <c r="J5" s="11">
        <v>73119.874383268907</v>
      </c>
      <c r="K5" s="11">
        <v>3.0282222863399699</v>
      </c>
      <c r="L5" s="14">
        <f>$H$101+1*(J5-72028.99)</f>
        <v>1089.9225841694933</v>
      </c>
      <c r="M5" s="22">
        <f t="shared" si="3"/>
        <v>3.0277272648639353</v>
      </c>
      <c r="N5" s="13">
        <v>109123.255690369</v>
      </c>
      <c r="O5" s="13">
        <v>3.0926513671875</v>
      </c>
      <c r="P5" s="12">
        <f>$L$101-1*(N5-108032)</f>
        <v>34906.788017787585</v>
      </c>
      <c r="Q5" s="24">
        <f t="shared" si="4"/>
        <v>96.969584748096139</v>
      </c>
      <c r="R5" s="10">
        <v>145128.635409465</v>
      </c>
      <c r="S5" s="11">
        <v>3.0323375355109801</v>
      </c>
      <c r="T5" s="14">
        <f>$P$101+1*(R5-144037.75)</f>
        <v>1089.5523032655983</v>
      </c>
      <c r="U5" s="22">
        <f t="shared" si="5"/>
        <v>3.0267297842664633</v>
      </c>
      <c r="V5" s="13">
        <v>181132.02671756499</v>
      </c>
      <c r="W5" s="13">
        <v>3.092041015625</v>
      </c>
      <c r="X5" s="12">
        <f>$T$101-1*(V5-180041)</f>
        <v>34906.646709686604</v>
      </c>
      <c r="Y5" s="24">
        <f t="shared" si="6"/>
        <v>96.969572852216714</v>
      </c>
      <c r="Z5" s="10">
        <v>217137.42544366</v>
      </c>
      <c r="AA5" s="11">
        <v>3.0388664476801801</v>
      </c>
      <c r="AB5" s="14">
        <f>$X$101+1*(Z5-216046.5)</f>
        <v>1089.4510293606072</v>
      </c>
      <c r="AC5" s="22">
        <f t="shared" si="7"/>
        <v>3.0264569641520218</v>
      </c>
      <c r="AD5" s="13">
        <v>253140.85275275999</v>
      </c>
      <c r="AE5" s="13">
        <v>3.092041015625</v>
      </c>
      <c r="AF5" s="12">
        <f>$AB$101-1*(AD5-252049.97)</f>
        <v>34906.689400586612</v>
      </c>
      <c r="AG5" s="24">
        <f t="shared" si="8"/>
        <v>96.96957644611669</v>
      </c>
      <c r="AH5" s="10">
        <v>289146.43848185497</v>
      </c>
      <c r="AI5" s="11">
        <v>3.0431389086176601</v>
      </c>
      <c r="AJ5" s="14">
        <f>$AF$101+1*(AH5-288055.5)</f>
        <v>1089.5067584555582</v>
      </c>
      <c r="AK5" s="22">
        <f t="shared" si="9"/>
        <v>0.93635043342081847</v>
      </c>
      <c r="AL5" s="13">
        <v>325149.89779095497</v>
      </c>
      <c r="AM5" s="13">
        <v>3.09234619140625</v>
      </c>
      <c r="AN5" s="14">
        <f>$AJ$101-1*(AL5-324059)</f>
        <v>34906.730091486614</v>
      </c>
      <c r="AO5" s="24"/>
    </row>
    <row r="6" spans="1:41" x14ac:dyDescent="0.25">
      <c r="A6" s="9">
        <v>4</v>
      </c>
      <c r="B6" s="10">
        <v>1474.7715137816101</v>
      </c>
      <c r="C6" s="11">
        <v>3.1570403744475999</v>
      </c>
      <c r="D6" s="14">
        <f t="shared" si="0"/>
        <v>1454.5051137816101</v>
      </c>
      <c r="E6" s="22">
        <f t="shared" si="1"/>
        <v>4.0404042188640767</v>
      </c>
      <c r="F6" s="13">
        <v>37478.466912880998</v>
      </c>
      <c r="G6" s="13">
        <v>3.0731201171875</v>
      </c>
      <c r="H6" s="20">
        <f>$D$101-1*(F6-36023)</f>
        <v>34543.5330631791</v>
      </c>
      <c r="I6" s="24">
        <f t="shared" si="2"/>
        <v>95.959488007685991</v>
      </c>
      <c r="J6" s="11">
        <v>73483.500644977103</v>
      </c>
      <c r="K6" s="11">
        <v>3.0511474609375</v>
      </c>
      <c r="L6" s="14">
        <f>$H$101+1*(J6-72028.99)</f>
        <v>1453.548845877689</v>
      </c>
      <c r="M6" s="22">
        <f t="shared" si="3"/>
        <v>4.0378551058549279</v>
      </c>
      <c r="N6" s="13">
        <v>109486.881952077</v>
      </c>
      <c r="O6" s="13">
        <v>3.07464599609375</v>
      </c>
      <c r="P6" s="12">
        <f>$L$101-1*(N6-108032)</f>
        <v>34543.161756079578</v>
      </c>
      <c r="Q6" s="24">
        <f t="shared" si="4"/>
        <v>95.959446330795757</v>
      </c>
      <c r="R6" s="10">
        <v>145492.26167117301</v>
      </c>
      <c r="S6" s="11">
        <v>3.0546554411299902</v>
      </c>
      <c r="T6" s="14">
        <f>$P$101+1*(R6-144037.75)</f>
        <v>1453.1785649736048</v>
      </c>
      <c r="U6" s="22">
        <f t="shared" si="5"/>
        <v>4.0368680156798513</v>
      </c>
      <c r="V6" s="13">
        <v>181495.652979273</v>
      </c>
      <c r="W6" s="13">
        <v>3.07403564453125</v>
      </c>
      <c r="X6" s="12">
        <f>$T$101-1*(V6-180041)</f>
        <v>34543.020447978597</v>
      </c>
      <c r="Y6" s="24">
        <f t="shared" si="6"/>
        <v>95.959430469623172</v>
      </c>
      <c r="Z6" s="10">
        <v>217501.05170536801</v>
      </c>
      <c r="AA6" s="11">
        <v>3.06060791015625</v>
      </c>
      <c r="AB6" s="14">
        <f>$X$101+1*(Z6-216046.5)</f>
        <v>1453.0772910686137</v>
      </c>
      <c r="AC6" s="22">
        <f t="shared" si="7"/>
        <v>4.0365980374416024</v>
      </c>
      <c r="AD6" s="13">
        <v>253504.479014468</v>
      </c>
      <c r="AE6" s="13">
        <v>3.07403564453125</v>
      </c>
      <c r="AF6" s="12">
        <f>$AB$101-1*(AD6-252049.97)</f>
        <v>34543.063138878606</v>
      </c>
      <c r="AG6" s="24">
        <f t="shared" si="8"/>
        <v>95.959435261489844</v>
      </c>
      <c r="AH6" s="10">
        <v>289510.06474356301</v>
      </c>
      <c r="AI6" s="11">
        <v>3.06396484375</v>
      </c>
      <c r="AJ6" s="14">
        <f>$AF$101+1*(AH6-288055.5)</f>
        <v>1453.1330201635938</v>
      </c>
      <c r="AK6" s="22">
        <f t="shared" si="9"/>
        <v>0.94275841346153844</v>
      </c>
      <c r="AL6" s="13">
        <v>325513.52405266301</v>
      </c>
      <c r="AM6" s="13">
        <v>3.07388151534873</v>
      </c>
      <c r="AN6" s="14">
        <f>$AJ$101-1*(AL6-324059)</f>
        <v>34543.103829778578</v>
      </c>
      <c r="AO6" s="24"/>
    </row>
    <row r="7" spans="1:41" x14ac:dyDescent="0.25">
      <c r="A7" s="9">
        <v>5</v>
      </c>
      <c r="B7" s="10">
        <v>1838.3977754898101</v>
      </c>
      <c r="C7" s="11">
        <v>3.15769388218119</v>
      </c>
      <c r="D7" s="14">
        <f t="shared" si="0"/>
        <v>1818.1313754898101</v>
      </c>
      <c r="E7" s="22">
        <f t="shared" si="1"/>
        <v>5.0505052270865747</v>
      </c>
      <c r="F7" s="13">
        <v>37842.093174589201</v>
      </c>
      <c r="G7" s="13">
        <v>3.0572509765625</v>
      </c>
      <c r="H7" s="20">
        <f>$D$101-1*(F7-36023)</f>
        <v>34179.906801470897</v>
      </c>
      <c r="I7" s="24">
        <f t="shared" si="2"/>
        <v>94.949360009607489</v>
      </c>
      <c r="J7" s="11">
        <v>73847.126906685298</v>
      </c>
      <c r="K7" s="11">
        <v>3.07098388671875</v>
      </c>
      <c r="L7" s="14">
        <f>$H$101+1*(J7-72028.99)</f>
        <v>1817.1751075858847</v>
      </c>
      <c r="M7" s="22">
        <f t="shared" si="3"/>
        <v>5.0479829468459192</v>
      </c>
      <c r="N7" s="13">
        <v>109850.508213785</v>
      </c>
      <c r="O7" s="13">
        <v>3.05938720703125</v>
      </c>
      <c r="P7" s="12">
        <f>$L$101-1*(N7-108032)</f>
        <v>34179.535494371587</v>
      </c>
      <c r="Q7" s="24">
        <f t="shared" si="4"/>
        <v>94.949307913495417</v>
      </c>
      <c r="R7" s="10">
        <v>145855.88793288101</v>
      </c>
      <c r="S7" s="11">
        <v>3.0739955709437998</v>
      </c>
      <c r="T7" s="14">
        <f>$P$101+1*(R7-144037.75)</f>
        <v>1816.8048266816113</v>
      </c>
      <c r="U7" s="22">
        <f t="shared" si="5"/>
        <v>5.0470062470932398</v>
      </c>
      <c r="V7" s="13">
        <v>181859.27924098101</v>
      </c>
      <c r="W7" s="13">
        <v>3.05908203125</v>
      </c>
      <c r="X7" s="12">
        <f>$T$101-1*(V7-180041)</f>
        <v>34179.394186270591</v>
      </c>
      <c r="Y7" s="24">
        <f t="shared" si="6"/>
        <v>94.949288087029643</v>
      </c>
      <c r="Z7" s="10">
        <v>217864.67796707599</v>
      </c>
      <c r="AA7" s="11">
        <v>3.0794486614188501</v>
      </c>
      <c r="AB7" s="14">
        <f>$X$101+1*(Z7-216046.5)</f>
        <v>1816.7035527765911</v>
      </c>
      <c r="AC7" s="22">
        <f t="shared" si="7"/>
        <v>5.0467391107311013</v>
      </c>
      <c r="AD7" s="13">
        <v>253868.10527617601</v>
      </c>
      <c r="AE7" s="13">
        <v>3.05877685546875</v>
      </c>
      <c r="AF7" s="12">
        <f>$AB$101-1*(AD7-252049.97)</f>
        <v>34179.436877170599</v>
      </c>
      <c r="AG7" s="24">
        <f t="shared" si="8"/>
        <v>94.949294076862984</v>
      </c>
      <c r="AH7" s="10">
        <v>289873.69100527099</v>
      </c>
      <c r="AI7" s="11">
        <v>3.08258056640625</v>
      </c>
      <c r="AJ7" s="14">
        <f>$AF$101+1*(AH7-288055.5)</f>
        <v>1816.7592818715711</v>
      </c>
      <c r="AK7" s="22">
        <f t="shared" si="9"/>
        <v>0.948486328125</v>
      </c>
      <c r="AL7" s="13">
        <v>325877.15031437099</v>
      </c>
      <c r="AM7" s="13">
        <v>3.0584716796875</v>
      </c>
      <c r="AN7" s="14">
        <f>$AJ$101-1*(AL7-324059)</f>
        <v>34179.477568070601</v>
      </c>
      <c r="AO7" s="24"/>
    </row>
    <row r="8" spans="1:41" x14ac:dyDescent="0.25">
      <c r="A8" s="9">
        <v>6</v>
      </c>
      <c r="B8" s="10">
        <v>2202.0240371979999</v>
      </c>
      <c r="C8" s="11">
        <v>3.1586433179450801</v>
      </c>
      <c r="D8" s="14">
        <f t="shared" si="0"/>
        <v>2181.7576371979999</v>
      </c>
      <c r="E8" s="22">
        <f t="shared" si="1"/>
        <v>6.0606062353090451</v>
      </c>
      <c r="F8" s="13">
        <v>38205.719436297397</v>
      </c>
      <c r="G8" s="13">
        <v>3.04351806640625</v>
      </c>
      <c r="H8" s="20">
        <f>$D$101-1*(F8-36023)</f>
        <v>33816.280539762702</v>
      </c>
      <c r="I8" s="24">
        <f t="shared" si="2"/>
        <v>93.939232011529</v>
      </c>
      <c r="J8" s="11">
        <v>74210.753168393494</v>
      </c>
      <c r="K8" s="11">
        <v>3.0879997484612001</v>
      </c>
      <c r="L8" s="14">
        <f>$H$101+1*(J8-72028.99)</f>
        <v>2180.8013692940804</v>
      </c>
      <c r="M8" s="22">
        <f t="shared" si="3"/>
        <v>6.0581107878369105</v>
      </c>
      <c r="N8" s="13">
        <v>110214.134475493</v>
      </c>
      <c r="O8" s="13">
        <v>3.0462646484375</v>
      </c>
      <c r="P8" s="12">
        <f>$L$101-1*(N8-108032)</f>
        <v>33815.90923266358</v>
      </c>
      <c r="Q8" s="24">
        <f t="shared" si="4"/>
        <v>93.939169496195035</v>
      </c>
      <c r="R8" s="10">
        <v>146219.51419458899</v>
      </c>
      <c r="S8" s="11">
        <v>3.0904411547112001</v>
      </c>
      <c r="T8" s="14">
        <f>$P$101+1*(R8-144037.75)</f>
        <v>2180.4310883895887</v>
      </c>
      <c r="U8" s="22">
        <f t="shared" si="5"/>
        <v>6.0571444785065474</v>
      </c>
      <c r="V8" s="13">
        <v>182222.90550268901</v>
      </c>
      <c r="W8" s="13">
        <v>3.04595947265625</v>
      </c>
      <c r="X8" s="12">
        <f>$T$101-1*(V8-180041)</f>
        <v>33815.767924562584</v>
      </c>
      <c r="Y8" s="24">
        <f t="shared" si="6"/>
        <v>93.9391457044361</v>
      </c>
      <c r="Z8" s="10">
        <v>218228.30422878399</v>
      </c>
      <c r="AA8" s="11">
        <v>3.09478759765625</v>
      </c>
      <c r="AB8" s="14">
        <f>$X$101+1*(Z8-216046.5)</f>
        <v>2180.3298144845976</v>
      </c>
      <c r="AC8" s="22">
        <f t="shared" si="7"/>
        <v>6.0568801840206818</v>
      </c>
      <c r="AD8" s="13">
        <v>254231.73153788401</v>
      </c>
      <c r="AE8" s="13">
        <v>3.04595947265625</v>
      </c>
      <c r="AF8" s="12">
        <f>$AB$101-1*(AD8-252049.97)</f>
        <v>33815.810615462593</v>
      </c>
      <c r="AG8" s="24">
        <f t="shared" si="8"/>
        <v>93.939152892236137</v>
      </c>
      <c r="AH8" s="10">
        <v>290237.31726697902</v>
      </c>
      <c r="AI8" s="11">
        <v>3.0976913914536501</v>
      </c>
      <c r="AJ8" s="14">
        <f>$AF$101+1*(AH8-288055.5)</f>
        <v>2180.3855435796067</v>
      </c>
      <c r="AK8" s="22">
        <f t="shared" si="9"/>
        <v>0.95313581275496928</v>
      </c>
      <c r="AL8" s="13">
        <v>326240.77657607902</v>
      </c>
      <c r="AM8" s="13">
        <v>3.0454231031012999</v>
      </c>
      <c r="AN8" s="14">
        <f>$AJ$101-1*(AL8-324059)</f>
        <v>33815.851306362565</v>
      </c>
      <c r="AO8" s="24"/>
    </row>
    <row r="9" spans="1:41" x14ac:dyDescent="0.25">
      <c r="A9" s="9">
        <v>7</v>
      </c>
      <c r="B9" s="10">
        <v>2565.6502989061901</v>
      </c>
      <c r="C9" s="11">
        <v>3.15899164989741</v>
      </c>
      <c r="D9" s="14">
        <f t="shared" si="0"/>
        <v>2545.3838989061901</v>
      </c>
      <c r="E9" s="22">
        <f t="shared" si="1"/>
        <v>7.0707072435315155</v>
      </c>
      <c r="F9" s="13">
        <v>38569.3456980056</v>
      </c>
      <c r="G9" s="13">
        <v>3.03149907275884</v>
      </c>
      <c r="H9" s="20">
        <f>$D$101-1*(F9-36023)</f>
        <v>33452.654278054499</v>
      </c>
      <c r="I9" s="24">
        <f t="shared" si="2"/>
        <v>92.929104013450484</v>
      </c>
      <c r="J9" s="11">
        <v>74574.379430101704</v>
      </c>
      <c r="K9" s="11">
        <v>3.10187754004889</v>
      </c>
      <c r="L9" s="14">
        <f>$H$101+1*(J9-72028.99)</f>
        <v>2544.4276310022906</v>
      </c>
      <c r="M9" s="22">
        <f t="shared" si="3"/>
        <v>7.0682386288279426</v>
      </c>
      <c r="N9" s="13">
        <v>110577.760737201</v>
      </c>
      <c r="O9" s="13">
        <v>3.03497314453125</v>
      </c>
      <c r="P9" s="12">
        <f>$L$101-1*(N9-108032)</f>
        <v>33452.282970955588</v>
      </c>
      <c r="Q9" s="24">
        <f t="shared" si="4"/>
        <v>92.929031078894695</v>
      </c>
      <c r="R9" s="10">
        <v>146583.140456297</v>
      </c>
      <c r="S9" s="11">
        <v>3.1043651850537399</v>
      </c>
      <c r="T9" s="14">
        <f>$P$101+1*(R9-144037.75)</f>
        <v>2544.0573500975952</v>
      </c>
      <c r="U9" s="22">
        <f t="shared" si="5"/>
        <v>7.0672827099199349</v>
      </c>
      <c r="V9" s="13">
        <v>182586.53176439699</v>
      </c>
      <c r="W9" s="13">
        <v>3.0348560063524999</v>
      </c>
      <c r="X9" s="12">
        <f>$T$101-1*(V9-180041)</f>
        <v>33452.141662854607</v>
      </c>
      <c r="Y9" s="24">
        <f t="shared" si="6"/>
        <v>92.929003321842643</v>
      </c>
      <c r="Z9" s="10">
        <v>218591.930490492</v>
      </c>
      <c r="AA9" s="11">
        <v>3.10821533203125</v>
      </c>
      <c r="AB9" s="14">
        <f>$X$101+1*(Z9-216046.5)</f>
        <v>2543.9560761926041</v>
      </c>
      <c r="AC9" s="22">
        <f t="shared" si="7"/>
        <v>7.0670212573102615</v>
      </c>
      <c r="AD9" s="13">
        <v>254595.35779959199</v>
      </c>
      <c r="AE9" s="13">
        <v>3.03497314453125</v>
      </c>
      <c r="AF9" s="12">
        <f>$AB$101-1*(AD9-252049.97)</f>
        <v>33452.184353754616</v>
      </c>
      <c r="AG9" s="24">
        <f t="shared" si="8"/>
        <v>92.929011707609362</v>
      </c>
      <c r="AH9" s="10">
        <v>290600.943528687</v>
      </c>
      <c r="AI9" s="11">
        <v>3.1105858388574998</v>
      </c>
      <c r="AJ9" s="14">
        <f>$AF$101+1*(AH9-288055.5)</f>
        <v>2544.0118052875841</v>
      </c>
      <c r="AK9" s="22">
        <f t="shared" si="9"/>
        <v>0.95710333503307687</v>
      </c>
      <c r="AL9" s="13">
        <v>326604.402837787</v>
      </c>
      <c r="AM9" s="13">
        <v>3.03436279296875</v>
      </c>
      <c r="AN9" s="14">
        <f>$AJ$101-1*(AL9-324059)</f>
        <v>33452.225044654588</v>
      </c>
      <c r="AO9" s="24"/>
    </row>
    <row r="10" spans="1:41" x14ac:dyDescent="0.25">
      <c r="A10" s="9">
        <v>8</v>
      </c>
      <c r="B10" s="10">
        <v>2929.2765606143898</v>
      </c>
      <c r="C10" s="11">
        <v>3.1594941110321999</v>
      </c>
      <c r="D10" s="14">
        <f t="shared" si="0"/>
        <v>2909.0101606143899</v>
      </c>
      <c r="E10" s="22">
        <f t="shared" si="1"/>
        <v>8.0808082517540143</v>
      </c>
      <c r="F10" s="13">
        <v>38932.971959713803</v>
      </c>
      <c r="G10" s="13">
        <v>3.02093505859375</v>
      </c>
      <c r="H10" s="20">
        <f>$D$101-1*(F10-36023)</f>
        <v>33089.028016346296</v>
      </c>
      <c r="I10" s="24">
        <f t="shared" si="2"/>
        <v>91.918976015371967</v>
      </c>
      <c r="J10" s="11">
        <v>74938.0056918099</v>
      </c>
      <c r="K10" s="11">
        <v>3.11279296875</v>
      </c>
      <c r="L10" s="14">
        <f>$H$101+1*(J10-72028.99)</f>
        <v>2908.0538927104863</v>
      </c>
      <c r="M10" s="22">
        <f t="shared" si="3"/>
        <v>8.0783664698189348</v>
      </c>
      <c r="N10" s="13">
        <v>110941.38699891001</v>
      </c>
      <c r="O10" s="13">
        <v>3.02490234375</v>
      </c>
      <c r="P10" s="12">
        <f>$L$101-1*(N10-108032)</f>
        <v>33088.656709246578</v>
      </c>
      <c r="Q10" s="24">
        <f t="shared" si="4"/>
        <v>91.918892661591528</v>
      </c>
      <c r="R10" s="10">
        <v>146946.76671800599</v>
      </c>
      <c r="S10" s="11">
        <v>3.1152405401675698</v>
      </c>
      <c r="T10" s="14">
        <f>$P$101+1*(R10-144037.75)</f>
        <v>2907.6836118065912</v>
      </c>
      <c r="U10" s="22">
        <f t="shared" si="5"/>
        <v>8.0774209413360722</v>
      </c>
      <c r="V10" s="13">
        <v>182950.15802610599</v>
      </c>
      <c r="W10" s="13">
        <v>3.02520751953125</v>
      </c>
      <c r="X10" s="12">
        <f>$T$101-1*(V10-180041)</f>
        <v>33088.515401145611</v>
      </c>
      <c r="Y10" s="24">
        <f t="shared" si="6"/>
        <v>91.918860939246343</v>
      </c>
      <c r="Z10" s="10">
        <v>218955.556752201</v>
      </c>
      <c r="AA10" s="11">
        <v>3.1186005563451098</v>
      </c>
      <c r="AB10" s="14">
        <f>$X$101+1*(Z10-216046.5)</f>
        <v>2907.5823379016001</v>
      </c>
      <c r="AC10" s="22">
        <f t="shared" si="7"/>
        <v>8.0771623306025919</v>
      </c>
      <c r="AD10" s="13">
        <v>254958.98406130099</v>
      </c>
      <c r="AE10" s="13">
        <v>3.02520751953125</v>
      </c>
      <c r="AF10" s="12">
        <f>$AB$101-1*(AD10-252049.97)</f>
        <v>33088.55809204562</v>
      </c>
      <c r="AG10" s="24">
        <f t="shared" si="8"/>
        <v>91.918870522979759</v>
      </c>
      <c r="AH10" s="10">
        <v>290964.56979039602</v>
      </c>
      <c r="AI10" s="11">
        <v>3.1210388800112998</v>
      </c>
      <c r="AJ10" s="14">
        <f>$AF$101+1*(AH10-288055.5)</f>
        <v>2907.6380669966093</v>
      </c>
      <c r="AK10" s="22">
        <f t="shared" si="9"/>
        <v>0.96031965538809227</v>
      </c>
      <c r="AL10" s="13">
        <v>326968.02909949602</v>
      </c>
      <c r="AM10" s="13">
        <v>3.02459716796875</v>
      </c>
      <c r="AN10" s="14">
        <f>$AJ$101-1*(AL10-324059)</f>
        <v>33088.598782945563</v>
      </c>
      <c r="AO10" s="24"/>
    </row>
    <row r="11" spans="1:41" x14ac:dyDescent="0.25">
      <c r="A11" s="9">
        <v>9</v>
      </c>
      <c r="B11" s="10">
        <v>3292.9028223225801</v>
      </c>
      <c r="C11" s="11">
        <v>3.1607887961647698</v>
      </c>
      <c r="D11" s="14">
        <f t="shared" si="0"/>
        <v>3272.6364223225801</v>
      </c>
      <c r="E11" s="22">
        <f t="shared" si="1"/>
        <v>9.0909092599764847</v>
      </c>
      <c r="F11" s="13">
        <v>39296.598221421998</v>
      </c>
      <c r="G11" s="13">
        <v>3.0120849609375</v>
      </c>
      <c r="H11" s="20">
        <f>$D$101-1*(F11-36023)</f>
        <v>32725.4017546381</v>
      </c>
      <c r="I11" s="24">
        <f t="shared" si="2"/>
        <v>90.908848017293479</v>
      </c>
      <c r="J11" s="11">
        <v>75301.631953518096</v>
      </c>
      <c r="K11" s="11">
        <v>3.1219482421875</v>
      </c>
      <c r="L11" s="14">
        <f>$H$101+1*(J11-72028.99)</f>
        <v>3271.6801544186819</v>
      </c>
      <c r="M11" s="22">
        <f t="shared" si="3"/>
        <v>9.0884943108099279</v>
      </c>
      <c r="N11" s="13">
        <v>111305.013260618</v>
      </c>
      <c r="O11" s="13">
        <v>3.016357421875</v>
      </c>
      <c r="P11" s="12">
        <f>$L$101-1*(N11-108032)</f>
        <v>32725.030447538586</v>
      </c>
      <c r="Q11" s="24">
        <f t="shared" si="4"/>
        <v>90.908754244291174</v>
      </c>
      <c r="R11" s="10">
        <v>147310.392979714</v>
      </c>
      <c r="S11" s="11">
        <v>3.1242786754262202</v>
      </c>
      <c r="T11" s="14">
        <f>$P$101+1*(R11-144037.75)</f>
        <v>3271.3098735145977</v>
      </c>
      <c r="U11" s="22">
        <f t="shared" si="5"/>
        <v>9.0875591727494616</v>
      </c>
      <c r="V11" s="13">
        <v>183313.78428781399</v>
      </c>
      <c r="W11" s="13">
        <v>3.01666259765625</v>
      </c>
      <c r="X11" s="12">
        <f>$T$101-1*(V11-180041)</f>
        <v>32724.889139437604</v>
      </c>
      <c r="Y11" s="24">
        <f t="shared" si="6"/>
        <v>90.908718556652815</v>
      </c>
      <c r="Z11" s="10">
        <v>219319.183013909</v>
      </c>
      <c r="AA11" s="11">
        <v>3.12835693359375</v>
      </c>
      <c r="AB11" s="14">
        <f>$X$101+1*(Z11-216046.5)</f>
        <v>3271.2085996096066</v>
      </c>
      <c r="AC11" s="22">
        <f t="shared" si="7"/>
        <v>9.0873034038921716</v>
      </c>
      <c r="AD11" s="13">
        <v>255322.61032300899</v>
      </c>
      <c r="AE11" s="13">
        <v>3.0169677734375</v>
      </c>
      <c r="AF11" s="12">
        <f>$AB$101-1*(AD11-252049.97)</f>
        <v>32724.931830337613</v>
      </c>
      <c r="AG11" s="24">
        <f t="shared" si="8"/>
        <v>90.908729338352913</v>
      </c>
      <c r="AH11" s="10">
        <v>291328.196052104</v>
      </c>
      <c r="AI11" s="11">
        <v>3.1298828125</v>
      </c>
      <c r="AJ11" s="14">
        <f>$AF$101+1*(AH11-288055.5)</f>
        <v>3271.2643287045867</v>
      </c>
      <c r="AK11" s="22">
        <f t="shared" si="9"/>
        <v>0.96304086538461542</v>
      </c>
      <c r="AL11" s="13">
        <v>327331.655361204</v>
      </c>
      <c r="AM11" s="13">
        <v>3.016357421875</v>
      </c>
      <c r="AN11" s="14">
        <f>$AJ$101-1*(AL11-324059)</f>
        <v>32724.972521237585</v>
      </c>
      <c r="AO11" s="24"/>
    </row>
    <row r="12" spans="1:41" x14ac:dyDescent="0.25">
      <c r="A12" s="9">
        <v>10</v>
      </c>
      <c r="B12" s="10">
        <v>3656.5290840307798</v>
      </c>
      <c r="C12" s="11">
        <v>3.1611710365372501</v>
      </c>
      <c r="D12" s="14">
        <f t="shared" si="0"/>
        <v>3636.2626840307798</v>
      </c>
      <c r="E12" s="22">
        <f t="shared" si="1"/>
        <v>10.101010268198984</v>
      </c>
      <c r="F12" s="13">
        <v>39660.224483130201</v>
      </c>
      <c r="G12" s="13">
        <v>3.0043754192313799</v>
      </c>
      <c r="H12" s="20">
        <f>$D$101-1*(F12-36023)</f>
        <v>32361.775492929897</v>
      </c>
      <c r="I12" s="24">
        <f t="shared" si="2"/>
        <v>89.898720019214963</v>
      </c>
      <c r="J12" s="11">
        <v>75665.258215226306</v>
      </c>
      <c r="K12" s="11">
        <v>3.1293526081124101</v>
      </c>
      <c r="L12" s="14">
        <f>$H$101+1*(J12-72028.99)</f>
        <v>3635.3064161268921</v>
      </c>
      <c r="M12" s="22">
        <f t="shared" si="3"/>
        <v>10.09862215180096</v>
      </c>
      <c r="N12" s="13">
        <v>111668.639522326</v>
      </c>
      <c r="O12" s="13">
        <v>3.009033203125</v>
      </c>
      <c r="P12" s="12">
        <f>$L$101-1*(N12-108032)</f>
        <v>32361.404185830579</v>
      </c>
      <c r="Q12" s="24">
        <f t="shared" si="4"/>
        <v>89.898615826990792</v>
      </c>
      <c r="R12" s="10">
        <v>147674.01924142201</v>
      </c>
      <c r="S12" s="11">
        <v>3.1317292801058398</v>
      </c>
      <c r="T12" s="14">
        <f>$P$101+1*(R12-144037.75)</f>
        <v>3634.9361352226042</v>
      </c>
      <c r="U12" s="22">
        <f t="shared" si="5"/>
        <v>10.097697404162849</v>
      </c>
      <c r="V12" s="13">
        <v>183677.410549522</v>
      </c>
      <c r="W12" s="13">
        <v>3.00933837890625</v>
      </c>
      <c r="X12" s="12">
        <f>$T$101-1*(V12-180041)</f>
        <v>32361.262877729598</v>
      </c>
      <c r="Y12" s="24">
        <f t="shared" si="6"/>
        <v>89.898576174059272</v>
      </c>
      <c r="Z12" s="10">
        <v>219682.80927561701</v>
      </c>
      <c r="AA12" s="11">
        <v>3.13584144669354</v>
      </c>
      <c r="AB12" s="14">
        <f>$X$101+1*(Z12-216046.5)</f>
        <v>3634.8348613176131</v>
      </c>
      <c r="AC12" s="22">
        <f t="shared" si="7"/>
        <v>10.097444477181753</v>
      </c>
      <c r="AD12" s="13">
        <v>255686.236584717</v>
      </c>
      <c r="AE12" s="13">
        <v>3.00994873046875</v>
      </c>
      <c r="AF12" s="12">
        <f>$AB$101-1*(AD12-252049.97)</f>
        <v>32361.305568629607</v>
      </c>
      <c r="AG12" s="24">
        <f t="shared" si="8"/>
        <v>89.898588153726052</v>
      </c>
      <c r="AH12" s="10">
        <v>291691.82231381198</v>
      </c>
      <c r="AI12" s="11">
        <v>3.1375923542061499</v>
      </c>
      <c r="AJ12" s="14">
        <f>$AF$101+1*(AH12-288055.5)</f>
        <v>3634.8905904125641</v>
      </c>
      <c r="AK12" s="22">
        <f t="shared" si="9"/>
        <v>0.96541303206343076</v>
      </c>
      <c r="AL12" s="13">
        <v>327695.28162291198</v>
      </c>
      <c r="AM12" s="13">
        <v>3.00933837890625</v>
      </c>
      <c r="AN12" s="14">
        <f>$AJ$101-1*(AL12-324059)</f>
        <v>32361.346259529608</v>
      </c>
      <c r="AO12" s="24"/>
    </row>
    <row r="13" spans="1:41" x14ac:dyDescent="0.25">
      <c r="A13" s="9">
        <v>11</v>
      </c>
      <c r="B13" s="10">
        <v>4020.15534573897</v>
      </c>
      <c r="C13" s="11">
        <v>3.16192626953125</v>
      </c>
      <c r="D13" s="14">
        <f t="shared" si="0"/>
        <v>3999.8889457389701</v>
      </c>
      <c r="E13" s="22">
        <f t="shared" si="1"/>
        <v>11.111111276421454</v>
      </c>
      <c r="F13" s="13">
        <v>40023.850744838302</v>
      </c>
      <c r="G13" s="13">
        <v>2.9974365234375</v>
      </c>
      <c r="H13" s="20">
        <f>$D$101-1*(F13-36023)</f>
        <v>31998.149231221796</v>
      </c>
      <c r="I13" s="24">
        <f t="shared" si="2"/>
        <v>88.888592021136731</v>
      </c>
      <c r="J13" s="11">
        <v>76028.884476934501</v>
      </c>
      <c r="K13" s="11">
        <v>3.1353081597222898</v>
      </c>
      <c r="L13" s="14">
        <f>$H$101+1*(J13-72028.99)</f>
        <v>3998.9326778350878</v>
      </c>
      <c r="M13" s="22">
        <f t="shared" si="3"/>
        <v>11.108749992791951</v>
      </c>
      <c r="N13" s="13">
        <v>112032.265784034</v>
      </c>
      <c r="O13" s="13">
        <v>3.00262451171875</v>
      </c>
      <c r="P13" s="12">
        <f>$L$101-1*(N13-108032)</f>
        <v>31997.777924122587</v>
      </c>
      <c r="Q13" s="24">
        <f t="shared" si="4"/>
        <v>88.888477409690452</v>
      </c>
      <c r="R13" s="10">
        <v>148037.64550313001</v>
      </c>
      <c r="S13" s="11">
        <v>3.138427734375</v>
      </c>
      <c r="T13" s="14">
        <f>$P$101+1*(R13-144037.75)</f>
        <v>3998.5623969306107</v>
      </c>
      <c r="U13" s="22">
        <f t="shared" si="5"/>
        <v>11.107835635576237</v>
      </c>
      <c r="V13" s="13">
        <v>184041.03681123001</v>
      </c>
      <c r="W13" s="13">
        <v>3.0029296875</v>
      </c>
      <c r="X13" s="12">
        <f>$T$101-1*(V13-180041)</f>
        <v>31997.636616021591</v>
      </c>
      <c r="Y13" s="24">
        <f t="shared" si="6"/>
        <v>88.888433791465729</v>
      </c>
      <c r="Z13" s="10">
        <v>220046.43553732499</v>
      </c>
      <c r="AA13" s="11">
        <v>3.14208984375</v>
      </c>
      <c r="AB13" s="14">
        <f>$X$101+1*(Z13-216046.5)</f>
        <v>3998.4611230255905</v>
      </c>
      <c r="AC13" s="22">
        <f t="shared" si="7"/>
        <v>11.107585550471251</v>
      </c>
      <c r="AD13" s="13">
        <v>256049.86284642501</v>
      </c>
      <c r="AE13" s="13">
        <v>3.0035400390625</v>
      </c>
      <c r="AF13" s="12">
        <f>$AB$101-1*(AD13-252049.97)</f>
        <v>31997.6793069216</v>
      </c>
      <c r="AG13" s="24">
        <f t="shared" si="8"/>
        <v>88.888446969099206</v>
      </c>
      <c r="AH13" s="10">
        <v>292055.44857552001</v>
      </c>
      <c r="AI13" s="11">
        <v>3.1439208984375</v>
      </c>
      <c r="AJ13" s="14">
        <f>$AF$101+1*(AH13-288055.5)</f>
        <v>3998.5168521205997</v>
      </c>
      <c r="AK13" s="22">
        <f t="shared" si="9"/>
        <v>0.96736027644230771</v>
      </c>
      <c r="AL13" s="13">
        <v>328058.90788462001</v>
      </c>
      <c r="AM13" s="13">
        <v>3.0029296875</v>
      </c>
      <c r="AN13" s="14">
        <f>$AJ$101-1*(AL13-324059)</f>
        <v>31997.719997821572</v>
      </c>
      <c r="AO13" s="24"/>
    </row>
    <row r="14" spans="1:41" x14ac:dyDescent="0.25">
      <c r="A14" s="9">
        <v>12</v>
      </c>
      <c r="B14" s="10">
        <v>4383.7816074471702</v>
      </c>
      <c r="C14" s="11">
        <v>3.1614823774857999</v>
      </c>
      <c r="D14" s="14">
        <f t="shared" si="0"/>
        <v>4363.5152074471698</v>
      </c>
      <c r="E14" s="22">
        <f t="shared" si="1"/>
        <v>12.121212284643953</v>
      </c>
      <c r="F14" s="13">
        <v>40387.477006546498</v>
      </c>
      <c r="G14" s="13">
        <v>2.99163818359375</v>
      </c>
      <c r="H14" s="20">
        <f>$D$101-1*(F14-36023)</f>
        <v>31634.5229695136</v>
      </c>
      <c r="I14" s="24">
        <f t="shared" si="2"/>
        <v>87.878464023058243</v>
      </c>
      <c r="J14" s="11">
        <v>76392.510738642697</v>
      </c>
      <c r="K14" s="11">
        <v>3.1385849461411199</v>
      </c>
      <c r="L14" s="14">
        <f>$H$101+1*(J14-72028.99)</f>
        <v>4362.5589395432835</v>
      </c>
      <c r="M14" s="22">
        <f t="shared" si="3"/>
        <v>12.118877833782943</v>
      </c>
      <c r="N14" s="13">
        <v>112395.892045742</v>
      </c>
      <c r="O14" s="13">
        <v>2.996826171875</v>
      </c>
      <c r="P14" s="12">
        <f>$L$101-1*(N14-108032)</f>
        <v>31634.151662414581</v>
      </c>
      <c r="Q14" s="24">
        <f t="shared" si="4"/>
        <v>87.87833899239007</v>
      </c>
      <c r="R14" s="10">
        <v>148401.27176483799</v>
      </c>
      <c r="S14" s="11">
        <v>3.1433197946260498</v>
      </c>
      <c r="T14" s="14">
        <f>$P$101+1*(R14-144037.75)</f>
        <v>4362.1886586385881</v>
      </c>
      <c r="U14" s="22">
        <f t="shared" si="5"/>
        <v>12.117973866989546</v>
      </c>
      <c r="V14" s="13">
        <v>184404.66307293801</v>
      </c>
      <c r="W14" s="13">
        <v>2.9974365234375</v>
      </c>
      <c r="X14" s="12">
        <f>$T$101-1*(V14-180041)</f>
        <v>31634.010354313585</v>
      </c>
      <c r="Y14" s="24">
        <f t="shared" si="6"/>
        <v>87.878291408872187</v>
      </c>
      <c r="Z14" s="10">
        <v>220410.06179903299</v>
      </c>
      <c r="AA14" s="11">
        <v>3.1466582327177002</v>
      </c>
      <c r="AB14" s="14">
        <f>$X$101+1*(Z14-216046.5)</f>
        <v>4362.087384733597</v>
      </c>
      <c r="AC14" s="22">
        <f t="shared" si="7"/>
        <v>12.117726623760831</v>
      </c>
      <c r="AD14" s="13">
        <v>256413.48910813301</v>
      </c>
      <c r="AE14" s="13">
        <v>2.998046875</v>
      </c>
      <c r="AF14" s="12">
        <f>$AB$101-1*(AD14-252049.97)</f>
        <v>31634.053045213594</v>
      </c>
      <c r="AG14" s="24">
        <f t="shared" si="8"/>
        <v>87.878305784472346</v>
      </c>
      <c r="AH14" s="10">
        <v>292419.07483722799</v>
      </c>
      <c r="AI14" s="11">
        <v>3.1480546431109402</v>
      </c>
      <c r="AJ14" s="14">
        <f>$AF$101+1*(AH14-288055.5)</f>
        <v>4362.143113828577</v>
      </c>
      <c r="AK14" s="22">
        <f t="shared" si="9"/>
        <v>0.96863219788028931</v>
      </c>
      <c r="AL14" s="13">
        <v>328422.53414632799</v>
      </c>
      <c r="AM14" s="13">
        <v>2.9974365234375</v>
      </c>
      <c r="AN14" s="14">
        <f>$AJ$101-1*(AL14-324059)</f>
        <v>31634.093736113595</v>
      </c>
      <c r="AO14" s="24"/>
    </row>
    <row r="15" spans="1:41" x14ac:dyDescent="0.25">
      <c r="A15" s="9">
        <v>13</v>
      </c>
      <c r="B15" s="10">
        <v>4747.4078691553595</v>
      </c>
      <c r="C15" s="11">
        <v>3.1606192540640801</v>
      </c>
      <c r="D15" s="14">
        <f t="shared" si="0"/>
        <v>4727.1414691553591</v>
      </c>
      <c r="E15" s="22">
        <f t="shared" si="1"/>
        <v>13.13131329286642</v>
      </c>
      <c r="F15" s="13">
        <v>40751.103268254701</v>
      </c>
      <c r="G15" s="13">
        <v>2.9864501953125</v>
      </c>
      <c r="H15" s="20">
        <f>$D$101-1*(F15-36023)</f>
        <v>31270.896707805397</v>
      </c>
      <c r="I15" s="24">
        <f t="shared" si="2"/>
        <v>86.868336024979726</v>
      </c>
      <c r="J15" s="11">
        <v>76756.137000350893</v>
      </c>
      <c r="K15" s="11">
        <v>3.14235186336012</v>
      </c>
      <c r="L15" s="14">
        <f>$H$101+1*(J15-72028.99)</f>
        <v>4726.1852012514792</v>
      </c>
      <c r="M15" s="22">
        <f t="shared" si="3"/>
        <v>13.129005674773936</v>
      </c>
      <c r="N15" s="13">
        <v>112759.518307451</v>
      </c>
      <c r="O15" s="13">
        <v>2.991943359375</v>
      </c>
      <c r="P15" s="12">
        <f>$L$101-1*(N15-108032)</f>
        <v>31270.525400705585</v>
      </c>
      <c r="Q15" s="24">
        <f t="shared" si="4"/>
        <v>86.868200575086945</v>
      </c>
      <c r="R15" s="10">
        <v>148764.89802654699</v>
      </c>
      <c r="S15" s="11">
        <v>3.14692950007881</v>
      </c>
      <c r="T15" s="14">
        <f>$P$101+1*(R15-144037.75)</f>
        <v>4725.8149203475841</v>
      </c>
      <c r="U15" s="22">
        <f t="shared" si="5"/>
        <v>13.128112098405682</v>
      </c>
      <c r="V15" s="13">
        <v>184768.28933464701</v>
      </c>
      <c r="W15" s="13">
        <v>2.9925537109375</v>
      </c>
      <c r="X15" s="12">
        <f>$T$101-1*(V15-180041)</f>
        <v>31270.384092604589</v>
      </c>
      <c r="Y15" s="24">
        <f t="shared" si="6"/>
        <v>86.868149026275901</v>
      </c>
      <c r="Z15" s="10">
        <v>220773.68806074199</v>
      </c>
      <c r="AA15" s="11">
        <v>3.15006757023369</v>
      </c>
      <c r="AB15" s="14">
        <f>$X$101+1*(Z15-216046.5)</f>
        <v>4725.713646442593</v>
      </c>
      <c r="AC15" s="22">
        <f t="shared" si="7"/>
        <v>13.12786769705316</v>
      </c>
      <c r="AD15" s="13">
        <v>256777.11536984201</v>
      </c>
      <c r="AE15" s="13">
        <v>2.9931640625</v>
      </c>
      <c r="AF15" s="12">
        <f>$AB$101-1*(AD15-252049.97)</f>
        <v>31270.426783504598</v>
      </c>
      <c r="AG15" s="24">
        <f t="shared" si="8"/>
        <v>86.868164599842743</v>
      </c>
      <c r="AH15" s="10">
        <v>292782.70109893702</v>
      </c>
      <c r="AI15" s="11">
        <v>3.15155029296875</v>
      </c>
      <c r="AJ15" s="14">
        <f>$AF$101+1*(AH15-288055.5)</f>
        <v>4725.7693755376022</v>
      </c>
      <c r="AK15" s="22">
        <f t="shared" si="9"/>
        <v>0.96970778245192313</v>
      </c>
      <c r="AL15" s="13">
        <v>328786.16040803702</v>
      </c>
      <c r="AM15" s="13">
        <v>2.9925537109375</v>
      </c>
      <c r="AN15" s="14">
        <f>$AJ$101-1*(AL15-324059)</f>
        <v>31270.46747440457</v>
      </c>
      <c r="AO15" s="24"/>
    </row>
    <row r="16" spans="1:41" x14ac:dyDescent="0.25">
      <c r="A16" s="9">
        <v>14</v>
      </c>
      <c r="B16" s="10">
        <v>5111.0341308635598</v>
      </c>
      <c r="C16" s="11">
        <v>3.15986093848643</v>
      </c>
      <c r="D16" s="14">
        <f t="shared" si="0"/>
        <v>5090.7677308635593</v>
      </c>
      <c r="E16" s="22">
        <f t="shared" si="1"/>
        <v>14.14141430108892</v>
      </c>
      <c r="F16" s="13">
        <v>41114.729529962897</v>
      </c>
      <c r="G16" s="13">
        <v>2.98187255859375</v>
      </c>
      <c r="H16" s="20">
        <f>$D$101-1*(F16-36023)</f>
        <v>30907.270446097202</v>
      </c>
      <c r="I16" s="24">
        <f t="shared" si="2"/>
        <v>85.858208026901238</v>
      </c>
      <c r="J16" s="11">
        <v>77119.763262059103</v>
      </c>
      <c r="K16" s="11">
        <v>3.14490732520514</v>
      </c>
      <c r="L16" s="14">
        <f>$H$101+1*(J16-72028.99)</f>
        <v>5089.8114629596894</v>
      </c>
      <c r="M16" s="22">
        <f t="shared" si="3"/>
        <v>14.139133515764968</v>
      </c>
      <c r="N16" s="13">
        <v>113123.14456915901</v>
      </c>
      <c r="O16" s="13">
        <v>2.98736572265625</v>
      </c>
      <c r="P16" s="12">
        <f>$L$101-1*(N16-108032)</f>
        <v>30906.899138997578</v>
      </c>
      <c r="Q16" s="24">
        <f t="shared" si="4"/>
        <v>85.858062157786549</v>
      </c>
      <c r="R16" s="10">
        <v>149128.52428825499</v>
      </c>
      <c r="S16" s="11">
        <v>3.14925068556642</v>
      </c>
      <c r="T16" s="14">
        <f>$P$101+1*(R16-144037.75)</f>
        <v>5089.4411820555906</v>
      </c>
      <c r="U16" s="22">
        <f t="shared" si="5"/>
        <v>14.138250329819069</v>
      </c>
      <c r="V16" s="13">
        <v>185131.91559635499</v>
      </c>
      <c r="W16" s="13">
        <v>2.9880469736425801</v>
      </c>
      <c r="X16" s="12">
        <f>$T$101-1*(V16-180041)</f>
        <v>30906.757830896611</v>
      </c>
      <c r="Y16" s="24">
        <f t="shared" si="6"/>
        <v>85.858006643682444</v>
      </c>
      <c r="Z16" s="10">
        <v>221137.31432244999</v>
      </c>
      <c r="AA16" s="11">
        <v>3.15323954880858</v>
      </c>
      <c r="AB16" s="14">
        <f>$X$101+1*(Z16-216046.5)</f>
        <v>5089.3399081505995</v>
      </c>
      <c r="AC16" s="22">
        <f t="shared" si="7"/>
        <v>14.138008770342742</v>
      </c>
      <c r="AD16" s="13">
        <v>257140.74163154999</v>
      </c>
      <c r="AE16" s="13">
        <v>2.9888916015625</v>
      </c>
      <c r="AF16" s="12">
        <f>$AB$101-1*(AD16-252049.97)</f>
        <v>30906.80052179662</v>
      </c>
      <c r="AG16" s="24">
        <f t="shared" si="8"/>
        <v>85.858023415215982</v>
      </c>
      <c r="AH16" s="10">
        <v>293146.32736064499</v>
      </c>
      <c r="AI16" s="11">
        <v>3.1546729502050801</v>
      </c>
      <c r="AJ16" s="14">
        <f>$AF$101+1*(AH16-288055.5)</f>
        <v>5089.3956372455796</v>
      </c>
      <c r="AK16" s="22">
        <f t="shared" si="9"/>
        <v>0.97066860006310152</v>
      </c>
      <c r="AL16" s="13">
        <v>329149.78666974499</v>
      </c>
      <c r="AM16" s="13">
        <v>2.98828125</v>
      </c>
      <c r="AN16" s="14">
        <f>$AJ$101-1*(AL16-324059)</f>
        <v>30906.841212696592</v>
      </c>
      <c r="AO16" s="24"/>
    </row>
    <row r="17" spans="1:41" x14ac:dyDescent="0.25">
      <c r="A17" s="9">
        <v>15</v>
      </c>
      <c r="B17" s="10">
        <v>5474.66039257175</v>
      </c>
      <c r="C17" s="11">
        <v>3.15948486328125</v>
      </c>
      <c r="D17" s="14">
        <f t="shared" si="0"/>
        <v>5454.3939925717495</v>
      </c>
      <c r="E17" s="22">
        <f t="shared" si="1"/>
        <v>15.151515309311389</v>
      </c>
      <c r="F17" s="13">
        <v>41478.3557916711</v>
      </c>
      <c r="G17" s="13">
        <v>2.9779052734375</v>
      </c>
      <c r="H17" s="20">
        <f>$D$101-1*(F17-36023)</f>
        <v>30543.644184388999</v>
      </c>
      <c r="I17" s="24">
        <f t="shared" si="2"/>
        <v>84.848080028822721</v>
      </c>
      <c r="J17" s="11">
        <v>77483.389523767299</v>
      </c>
      <c r="K17" s="11">
        <v>3.1473980527936001</v>
      </c>
      <c r="L17" s="14">
        <f>$H$101+1*(J17-72028.99)</f>
        <v>5453.437724667885</v>
      </c>
      <c r="M17" s="22">
        <f t="shared" si="3"/>
        <v>15.149261356755957</v>
      </c>
      <c r="N17" s="13">
        <v>113486.770830867</v>
      </c>
      <c r="O17" s="13">
        <v>2.9833984375</v>
      </c>
      <c r="P17" s="12">
        <f>$L$101-1*(N17-108032)</f>
        <v>30543.272877289586</v>
      </c>
      <c r="Q17" s="24">
        <f t="shared" si="4"/>
        <v>84.847923740486209</v>
      </c>
      <c r="R17" s="10">
        <v>149492.150549963</v>
      </c>
      <c r="S17" s="11">
        <v>3.15185546875</v>
      </c>
      <c r="T17" s="14">
        <f>$P$101+1*(R17-144037.75)</f>
        <v>5453.0674437635971</v>
      </c>
      <c r="U17" s="22">
        <f t="shared" si="5"/>
        <v>15.148388561232458</v>
      </c>
      <c r="V17" s="13">
        <v>185495.54185806299</v>
      </c>
      <c r="W17" s="13">
        <v>2.98431396484375</v>
      </c>
      <c r="X17" s="12">
        <f>$T$101-1*(V17-180041)</f>
        <v>30543.131569188605</v>
      </c>
      <c r="Y17" s="24">
        <f t="shared" si="6"/>
        <v>84.847864261088901</v>
      </c>
      <c r="Z17" s="10">
        <v>221500.940584158</v>
      </c>
      <c r="AA17" s="11">
        <v>3.1550921815813999</v>
      </c>
      <c r="AB17" s="14">
        <f>$X$101+1*(Z17-216046.5)</f>
        <v>5452.966169858606</v>
      </c>
      <c r="AC17" s="22">
        <f t="shared" si="7"/>
        <v>15.148149843632321</v>
      </c>
      <c r="AD17" s="13">
        <v>257504.36789325799</v>
      </c>
      <c r="AE17" s="13">
        <v>2.98492431640625</v>
      </c>
      <c r="AF17" s="12">
        <f>$AB$101-1*(AD17-252049.97)</f>
        <v>30543.174260088614</v>
      </c>
      <c r="AG17" s="24">
        <f t="shared" si="8"/>
        <v>84.847882230589121</v>
      </c>
      <c r="AH17" s="10">
        <v>293509.95362235297</v>
      </c>
      <c r="AI17" s="11">
        <v>3.1569232362689101</v>
      </c>
      <c r="AJ17" s="14">
        <f>$AF$101+1*(AH17-288055.5)</f>
        <v>5453.021898953557</v>
      </c>
      <c r="AK17" s="22">
        <f t="shared" si="9"/>
        <v>0.97136099577504931</v>
      </c>
      <c r="AL17" s="13">
        <v>329513.41293145297</v>
      </c>
      <c r="AM17" s="13">
        <v>2.98431396484375</v>
      </c>
      <c r="AN17" s="14">
        <f>$AJ$101-1*(AL17-324059)</f>
        <v>30543.214950988615</v>
      </c>
      <c r="AO17" s="24"/>
    </row>
    <row r="18" spans="1:41" x14ac:dyDescent="0.25">
      <c r="A18" s="9">
        <v>16</v>
      </c>
      <c r="B18" s="10">
        <v>5838.2866542799502</v>
      </c>
      <c r="C18" s="11">
        <v>3.1591858526672998</v>
      </c>
      <c r="D18" s="14">
        <f t="shared" si="0"/>
        <v>5818.0202542799498</v>
      </c>
      <c r="E18" s="22">
        <f t="shared" si="1"/>
        <v>16.161616317533888</v>
      </c>
      <c r="F18" s="13">
        <v>41841.982053379303</v>
      </c>
      <c r="G18" s="13">
        <v>2.9742431640625</v>
      </c>
      <c r="H18" s="20">
        <f>$D$101-1*(F18-36023)</f>
        <v>30180.017922680796</v>
      </c>
      <c r="I18" s="24">
        <f t="shared" si="2"/>
        <v>83.837952030744205</v>
      </c>
      <c r="J18" s="11">
        <v>77847.015785475494</v>
      </c>
      <c r="K18" s="11">
        <v>3.1488037109375</v>
      </c>
      <c r="L18" s="14">
        <f>$H$101+1*(J18-72028.99)</f>
        <v>5817.0639863760807</v>
      </c>
      <c r="M18" s="22">
        <f t="shared" si="3"/>
        <v>16.15938919774695</v>
      </c>
      <c r="N18" s="13">
        <v>113850.397092575</v>
      </c>
      <c r="O18" s="13">
        <v>2.979736328125</v>
      </c>
      <c r="P18" s="12">
        <f>$L$101-1*(N18-108032)</f>
        <v>30179.64661558158</v>
      </c>
      <c r="Q18" s="24">
        <f t="shared" si="4"/>
        <v>83.837785323185827</v>
      </c>
      <c r="R18" s="10">
        <v>149855.77681167101</v>
      </c>
      <c r="S18" s="11">
        <v>3.1533751824889702</v>
      </c>
      <c r="T18" s="14">
        <f>$P$101+1*(R18-144037.75)</f>
        <v>5816.6937054716036</v>
      </c>
      <c r="U18" s="22">
        <f t="shared" si="5"/>
        <v>16.158526792645848</v>
      </c>
      <c r="V18" s="13">
        <v>185859.168119771</v>
      </c>
      <c r="W18" s="13">
        <v>2.98065185546875</v>
      </c>
      <c r="X18" s="12">
        <f>$T$101-1*(V18-180041)</f>
        <v>30179.505307480598</v>
      </c>
      <c r="Y18" s="24">
        <f t="shared" si="6"/>
        <v>83.837721878495358</v>
      </c>
      <c r="Z18" s="10">
        <v>221864.56684586601</v>
      </c>
      <c r="AA18" s="11">
        <v>3.1558474145753501</v>
      </c>
      <c r="AB18" s="14">
        <f>$X$101+1*(Z18-216046.5)</f>
        <v>5816.5924315666125</v>
      </c>
      <c r="AC18" s="22">
        <f t="shared" si="7"/>
        <v>16.158290916921903</v>
      </c>
      <c r="AD18" s="13">
        <v>257867.994154966</v>
      </c>
      <c r="AE18" s="13">
        <v>2.9815673828125</v>
      </c>
      <c r="AF18" s="12">
        <f>$AB$101-1*(AD18-252049.97)</f>
        <v>30179.547998380607</v>
      </c>
      <c r="AG18" s="24">
        <f t="shared" si="8"/>
        <v>83.837741045962261</v>
      </c>
      <c r="AH18" s="10">
        <v>293873.57988406101</v>
      </c>
      <c r="AI18" s="11">
        <v>3.1585755011047798</v>
      </c>
      <c r="AJ18" s="14">
        <f>$AF$101+1*(AH18-288055.5)</f>
        <v>5816.6481606615926</v>
      </c>
      <c r="AK18" s="22">
        <f t="shared" si="9"/>
        <v>0.97186938495531683</v>
      </c>
      <c r="AL18" s="13">
        <v>329877.03919316101</v>
      </c>
      <c r="AM18" s="13">
        <v>2.98095703125</v>
      </c>
      <c r="AN18" s="14">
        <f>$AJ$101-1*(AL18-324059)</f>
        <v>30179.588689280579</v>
      </c>
      <c r="AO18" s="24"/>
    </row>
    <row r="19" spans="1:41" x14ac:dyDescent="0.25">
      <c r="A19" s="9">
        <v>17</v>
      </c>
      <c r="B19" s="10">
        <v>6201.9129159881404</v>
      </c>
      <c r="C19" s="11">
        <v>3.15887451171875</v>
      </c>
      <c r="D19" s="14">
        <f t="shared" si="0"/>
        <v>6181.64651598814</v>
      </c>
      <c r="E19" s="22">
        <f t="shared" si="1"/>
        <v>17.171717325756362</v>
      </c>
      <c r="F19" s="13">
        <v>42205.608315087498</v>
      </c>
      <c r="G19" s="13">
        <v>2.97149658203125</v>
      </c>
      <c r="H19" s="20">
        <f>$D$101-1*(F19-36023)</f>
        <v>29816.3916609726</v>
      </c>
      <c r="I19" s="24">
        <f t="shared" si="2"/>
        <v>82.827824032665717</v>
      </c>
      <c r="J19" s="11">
        <v>78210.642047183705</v>
      </c>
      <c r="K19" s="11">
        <v>3.1501323044901799</v>
      </c>
      <c r="L19" s="14">
        <f>$H$101+1*(J19-72028.99)</f>
        <v>6180.6902480842909</v>
      </c>
      <c r="M19" s="22">
        <f t="shared" si="3"/>
        <v>17.169517038737983</v>
      </c>
      <c r="N19" s="13">
        <v>114214.023354283</v>
      </c>
      <c r="O19" s="13">
        <v>2.9766845703125</v>
      </c>
      <c r="P19" s="12">
        <f>$L$101-1*(N19-108032)</f>
        <v>29816.020353873588</v>
      </c>
      <c r="Q19" s="24">
        <f t="shared" si="4"/>
        <v>82.827646905885487</v>
      </c>
      <c r="R19" s="10">
        <v>150219.40307337901</v>
      </c>
      <c r="S19" s="11">
        <v>3.154296875</v>
      </c>
      <c r="T19" s="14">
        <f>$P$101+1*(R19-144037.75)</f>
        <v>6180.3199671796101</v>
      </c>
      <c r="U19" s="22">
        <f t="shared" si="5"/>
        <v>17.168665024059234</v>
      </c>
      <c r="V19" s="13">
        <v>186222.79438147901</v>
      </c>
      <c r="W19" s="13">
        <v>2.97760009765625</v>
      </c>
      <c r="X19" s="12">
        <f>$T$101-1*(V19-180041)</f>
        <v>29815.879045772592</v>
      </c>
      <c r="Y19" s="24">
        <f t="shared" si="6"/>
        <v>82.82757949590183</v>
      </c>
      <c r="Z19" s="10">
        <v>222228.19310757401</v>
      </c>
      <c r="AA19" s="11">
        <v>3.1580483793008698</v>
      </c>
      <c r="AB19" s="14">
        <f>$X$101+1*(Z19-216046.5)</f>
        <v>6180.218693274619</v>
      </c>
      <c r="AC19" s="22">
        <f t="shared" si="7"/>
        <v>17.168431990211484</v>
      </c>
      <c r="AD19" s="13">
        <v>258231.62041667401</v>
      </c>
      <c r="AE19" s="13">
        <v>2.978515625</v>
      </c>
      <c r="AF19" s="12">
        <f>$AB$101-1*(AD19-252049.97)</f>
        <v>29815.921736672601</v>
      </c>
      <c r="AG19" s="24">
        <f t="shared" si="8"/>
        <v>82.827599861335415</v>
      </c>
      <c r="AH19" s="10">
        <v>294237.20614576899</v>
      </c>
      <c r="AI19" s="11">
        <v>3.1595927537089401</v>
      </c>
      <c r="AJ19" s="14">
        <f>$AF$101+1*(AH19-288055.5)</f>
        <v>6180.2744223695699</v>
      </c>
      <c r="AK19" s="22">
        <f t="shared" si="9"/>
        <v>0.97218238575659699</v>
      </c>
      <c r="AL19" s="13">
        <v>330240.66545486898</v>
      </c>
      <c r="AM19" s="13">
        <v>2.9779052734375</v>
      </c>
      <c r="AN19" s="14">
        <f>$AJ$101-1*(AL19-324059)</f>
        <v>29815.962427572602</v>
      </c>
      <c r="AO19" s="24"/>
    </row>
    <row r="20" spans="1:41" x14ac:dyDescent="0.25">
      <c r="A20" s="9">
        <v>18</v>
      </c>
      <c r="B20" s="10">
        <v>6565.5391776963397</v>
      </c>
      <c r="C20" s="11">
        <v>3.1586525656960198</v>
      </c>
      <c r="D20" s="14">
        <f t="shared" si="0"/>
        <v>6545.2727776963393</v>
      </c>
      <c r="E20" s="22">
        <f t="shared" si="1"/>
        <v>18.181818333978857</v>
      </c>
      <c r="F20" s="13">
        <v>42569.234576795701</v>
      </c>
      <c r="G20" s="13">
        <v>2.96905517578125</v>
      </c>
      <c r="H20" s="20">
        <f>$D$101-1*(F20-36023)</f>
        <v>29452.765399264397</v>
      </c>
      <c r="I20" s="24">
        <f t="shared" si="2"/>
        <v>81.8176960345872</v>
      </c>
      <c r="J20" s="11">
        <v>78574.2683088919</v>
      </c>
      <c r="K20" s="11">
        <v>3.1508567116476902</v>
      </c>
      <c r="L20" s="14">
        <f>$H$101+1*(J20-72028.99)</f>
        <v>6544.3165097924866</v>
      </c>
      <c r="M20" s="22">
        <f t="shared" si="3"/>
        <v>18.179644879728972</v>
      </c>
      <c r="N20" s="13">
        <v>114577.64961599201</v>
      </c>
      <c r="O20" s="13">
        <v>2.9738547585228101</v>
      </c>
      <c r="P20" s="12">
        <f>$L$101-1*(N20-108032)</f>
        <v>29452.394092164577</v>
      </c>
      <c r="Q20" s="24">
        <f t="shared" si="4"/>
        <v>81.81750848858232</v>
      </c>
      <c r="R20" s="10">
        <v>150583.02933508699</v>
      </c>
      <c r="S20" s="11">
        <v>3.1556008078836002</v>
      </c>
      <c r="T20" s="14">
        <f>$P$101+1*(R20-144037.75)</f>
        <v>6543.9462288875875</v>
      </c>
      <c r="U20" s="22">
        <f t="shared" si="5"/>
        <v>18.178803255472541</v>
      </c>
      <c r="V20" s="13">
        <v>186586.42064318701</v>
      </c>
      <c r="W20" s="13">
        <v>2.974853515625</v>
      </c>
      <c r="X20" s="12">
        <f>$T$101-1*(V20-180041)</f>
        <v>29452.252784064585</v>
      </c>
      <c r="Y20" s="24">
        <f t="shared" si="6"/>
        <v>81.817437113308287</v>
      </c>
      <c r="Z20" s="10">
        <v>222591.81936928199</v>
      </c>
      <c r="AA20" s="11">
        <v>3.1590964577413998</v>
      </c>
      <c r="AB20" s="14">
        <f>$X$101+1*(Z20-216046.5)</f>
        <v>6543.8449549825964</v>
      </c>
      <c r="AC20" s="22">
        <f t="shared" si="7"/>
        <v>18.178573063500984</v>
      </c>
      <c r="AD20" s="13">
        <v>258595.24667838201</v>
      </c>
      <c r="AE20" s="13">
        <v>2.97576904296875</v>
      </c>
      <c r="AF20" s="12">
        <f>$AB$101-1*(AD20-252049.97)</f>
        <v>29452.295474964594</v>
      </c>
      <c r="AG20" s="24">
        <f t="shared" si="8"/>
        <v>81.817458676708569</v>
      </c>
      <c r="AH20" s="10">
        <v>294600.83240747702</v>
      </c>
      <c r="AI20" s="11">
        <v>3.1597900390625</v>
      </c>
      <c r="AJ20" s="14">
        <f>$AF$101+1*(AH20-288055.5)</f>
        <v>6543.9006840776055</v>
      </c>
      <c r="AK20" s="22">
        <f t="shared" si="9"/>
        <v>0.97224308894230771</v>
      </c>
      <c r="AL20" s="13">
        <v>330604.29171657702</v>
      </c>
      <c r="AM20" s="13">
        <v>2.97515869140625</v>
      </c>
      <c r="AN20" s="14">
        <f>$AJ$101-1*(AL20-324059)</f>
        <v>29452.336165864566</v>
      </c>
      <c r="AO20" s="24"/>
    </row>
    <row r="21" spans="1:41" x14ac:dyDescent="0.25">
      <c r="A21" s="9">
        <v>19</v>
      </c>
      <c r="B21" s="10">
        <v>6929.1654394045299</v>
      </c>
      <c r="C21" s="11">
        <v>3.1585385101010099</v>
      </c>
      <c r="D21" s="14">
        <f t="shared" si="0"/>
        <v>6908.8990394045295</v>
      </c>
      <c r="E21" s="22">
        <f t="shared" si="1"/>
        <v>19.191919342201327</v>
      </c>
      <c r="F21" s="13">
        <v>42932.860838503897</v>
      </c>
      <c r="G21" s="13">
        <v>2.9669189453125</v>
      </c>
      <c r="H21" s="20">
        <f>$D$101-1*(F21-36023)</f>
        <v>29089.139137556202</v>
      </c>
      <c r="I21" s="24">
        <f t="shared" si="2"/>
        <v>80.807568036508712</v>
      </c>
      <c r="J21" s="11">
        <v>78937.894570600096</v>
      </c>
      <c r="K21" s="11">
        <v>3.1523733428031502</v>
      </c>
      <c r="L21" s="14">
        <f>$H$101+1*(J21-72028.99)</f>
        <v>6907.9427715006823</v>
      </c>
      <c r="M21" s="22">
        <f t="shared" si="3"/>
        <v>19.189772720719965</v>
      </c>
      <c r="N21" s="13">
        <v>114941.2758777</v>
      </c>
      <c r="O21" s="13">
        <v>2.97119140625</v>
      </c>
      <c r="P21" s="12">
        <f>$L$101-1*(N21-108032)</f>
        <v>29088.767830456585</v>
      </c>
      <c r="Q21" s="24">
        <f t="shared" si="4"/>
        <v>80.807370071281966</v>
      </c>
      <c r="R21" s="10">
        <v>150946.65559679599</v>
      </c>
      <c r="S21" s="11">
        <v>3.1558844055790201</v>
      </c>
      <c r="T21" s="14">
        <f>$P$101+1*(R21-144037.75)</f>
        <v>6907.5724905965835</v>
      </c>
      <c r="U21" s="22">
        <f t="shared" si="5"/>
        <v>19.18894148688868</v>
      </c>
      <c r="V21" s="13">
        <v>186950.04690489601</v>
      </c>
      <c r="W21" s="13">
        <v>2.97210693359375</v>
      </c>
      <c r="X21" s="12">
        <f>$T$101-1*(V21-180041)</f>
        <v>29088.626522355589</v>
      </c>
      <c r="Y21" s="24">
        <f t="shared" si="6"/>
        <v>80.807294730712002</v>
      </c>
      <c r="Z21" s="10">
        <v>222955.44563099099</v>
      </c>
      <c r="AA21" s="11">
        <v>3.1598208648988901</v>
      </c>
      <c r="AB21" s="14">
        <f>$X$101+1*(Z21-216046.5)</f>
        <v>6907.4712166915924</v>
      </c>
      <c r="AC21" s="22">
        <f t="shared" si="7"/>
        <v>19.188714136793312</v>
      </c>
      <c r="AD21" s="13">
        <v>258958.87294009101</v>
      </c>
      <c r="AE21" s="13">
        <v>2.97332763671875</v>
      </c>
      <c r="AF21" s="12">
        <f>$AB$101-1*(AD21-252049.97)</f>
        <v>29088.669213255598</v>
      </c>
      <c r="AG21" s="24">
        <f t="shared" si="8"/>
        <v>80.807317492078951</v>
      </c>
      <c r="AH21" s="10">
        <v>294964.45866918599</v>
      </c>
      <c r="AI21" s="11">
        <v>3.1610107421875</v>
      </c>
      <c r="AJ21" s="14">
        <f>$AF$101+1*(AH21-288055.5)</f>
        <v>6907.5269457865725</v>
      </c>
      <c r="AK21" s="22">
        <f t="shared" si="9"/>
        <v>0.97261868990384615</v>
      </c>
      <c r="AL21" s="13">
        <v>330967.91797828599</v>
      </c>
      <c r="AM21" s="13">
        <v>2.972412109375</v>
      </c>
      <c r="AN21" s="14">
        <f>$AJ$101-1*(AL21-324059)</f>
        <v>29088.709904155599</v>
      </c>
      <c r="AO21" s="24"/>
    </row>
    <row r="22" spans="1:41" x14ac:dyDescent="0.25">
      <c r="A22" s="9">
        <v>20</v>
      </c>
      <c r="B22" s="10">
        <v>7292.7917011127302</v>
      </c>
      <c r="C22" s="11">
        <v>3.15887451171875</v>
      </c>
      <c r="D22" s="14">
        <f t="shared" si="0"/>
        <v>7272.5253011127297</v>
      </c>
      <c r="E22" s="22">
        <f t="shared" si="1"/>
        <v>20.202020350423826</v>
      </c>
      <c r="F22" s="13">
        <v>43296.4871002121</v>
      </c>
      <c r="G22" s="13">
        <v>2.965087890625</v>
      </c>
      <c r="H22" s="20">
        <f>$D$101-1*(F22-36023)</f>
        <v>28725.512875847999</v>
      </c>
      <c r="I22" s="24">
        <f t="shared" si="2"/>
        <v>79.79744003843021</v>
      </c>
      <c r="J22" s="11">
        <v>79301.520832308306</v>
      </c>
      <c r="K22" s="11">
        <v>3.15277099609375</v>
      </c>
      <c r="L22" s="14">
        <f>$H$101+1*(J22-72028.99)</f>
        <v>7271.5690332088925</v>
      </c>
      <c r="M22" s="22">
        <f t="shared" si="3"/>
        <v>20.199900561710997</v>
      </c>
      <c r="N22" s="13">
        <v>115304.902139408</v>
      </c>
      <c r="O22" s="13">
        <v>2.96905517578125</v>
      </c>
      <c r="P22" s="12">
        <f>$L$101-1*(N22-108032)</f>
        <v>28725.141568748579</v>
      </c>
      <c r="Q22" s="24">
        <f t="shared" si="4"/>
        <v>79.797231653981598</v>
      </c>
      <c r="R22" s="10">
        <v>151310.28185850399</v>
      </c>
      <c r="S22" s="11">
        <v>3.15688316268146</v>
      </c>
      <c r="T22" s="14">
        <f>$P$101+1*(R22-144037.75)</f>
        <v>7271.19875230459</v>
      </c>
      <c r="U22" s="22">
        <f t="shared" si="5"/>
        <v>20.19907971830207</v>
      </c>
      <c r="V22" s="13">
        <v>187313.67316660401</v>
      </c>
      <c r="W22" s="13">
        <v>2.969970703125</v>
      </c>
      <c r="X22" s="12">
        <f>$T$101-1*(V22-180041)</f>
        <v>28725.000260647583</v>
      </c>
      <c r="Y22" s="24">
        <f t="shared" si="6"/>
        <v>79.797152348118459</v>
      </c>
      <c r="Z22" s="10">
        <v>223319.07189269899</v>
      </c>
      <c r="AA22" s="11">
        <v>3.16024009627521</v>
      </c>
      <c r="AB22" s="14">
        <f>$X$101+1*(Z22-216046.5)</f>
        <v>7271.0974783995989</v>
      </c>
      <c r="AC22" s="22">
        <f t="shared" si="7"/>
        <v>20.198855210082893</v>
      </c>
      <c r="AD22" s="13">
        <v>259322.49920179899</v>
      </c>
      <c r="AE22" s="13">
        <v>2.97119140625</v>
      </c>
      <c r="AF22" s="12">
        <f>$AB$101-1*(AD22-252049.97)</f>
        <v>28725.042951547621</v>
      </c>
      <c r="AG22" s="24">
        <f t="shared" si="8"/>
        <v>79.79717630745219</v>
      </c>
      <c r="AH22" s="10">
        <v>295328.08493089402</v>
      </c>
      <c r="AI22" s="11">
        <v>3.1614607994002002</v>
      </c>
      <c r="AJ22" s="14">
        <f>$AF$101+1*(AH22-288055.5)</f>
        <v>7271.1532074946081</v>
      </c>
      <c r="AK22" s="22">
        <f t="shared" si="9"/>
        <v>0.97275716904621545</v>
      </c>
      <c r="AL22" s="13">
        <v>331331.54423999402</v>
      </c>
      <c r="AM22" s="13">
        <v>2.97027587890625</v>
      </c>
      <c r="AN22" s="14">
        <f>$AJ$101-1*(AL22-324059)</f>
        <v>28725.083642447564</v>
      </c>
      <c r="AO22" s="24"/>
    </row>
    <row r="23" spans="1:41" x14ac:dyDescent="0.25">
      <c r="A23" s="9">
        <v>21</v>
      </c>
      <c r="B23" s="10">
        <v>7656.4179628209204</v>
      </c>
      <c r="C23" s="11">
        <v>3.1587357954545499</v>
      </c>
      <c r="D23" s="14">
        <f t="shared" si="0"/>
        <v>7636.1515628209199</v>
      </c>
      <c r="E23" s="22">
        <f t="shared" si="1"/>
        <v>21.2121213586463</v>
      </c>
      <c r="F23" s="13">
        <v>43660.113361920303</v>
      </c>
      <c r="G23" s="13">
        <v>2.9638671875</v>
      </c>
      <c r="H23" s="20">
        <f>$D$101-1*(F23-36023)</f>
        <v>28361.886614139796</v>
      </c>
      <c r="I23" s="24">
        <f t="shared" si="2"/>
        <v>78.787312040351694</v>
      </c>
      <c r="J23" s="11">
        <v>79665.147094016502</v>
      </c>
      <c r="K23" s="11">
        <v>3.1531224106297802</v>
      </c>
      <c r="L23" s="14">
        <f>$H$101+1*(J23-72028.99)</f>
        <v>7635.1952949170882</v>
      </c>
      <c r="M23" s="22">
        <f t="shared" si="3"/>
        <v>21.21002840270199</v>
      </c>
      <c r="N23" s="13">
        <v>115668.528401116</v>
      </c>
      <c r="O23" s="13">
        <v>2.96722412109375</v>
      </c>
      <c r="P23" s="12">
        <f>$L$101-1*(N23-108032)</f>
        <v>28361.515307040587</v>
      </c>
      <c r="Q23" s="24">
        <f t="shared" si="4"/>
        <v>78.787093236681244</v>
      </c>
      <c r="R23" s="10">
        <v>151673.908120212</v>
      </c>
      <c r="S23" s="11">
        <v>3.1574411103219502</v>
      </c>
      <c r="T23" s="14">
        <f>$P$101+1*(R23-144037.75)</f>
        <v>7634.8250140125965</v>
      </c>
      <c r="U23" s="22">
        <f t="shared" si="5"/>
        <v>21.209217949715455</v>
      </c>
      <c r="V23" s="13">
        <v>187677.29942831199</v>
      </c>
      <c r="W23" s="13">
        <v>2.9681396484375</v>
      </c>
      <c r="X23" s="12">
        <f>$T$101-1*(V23-180041)</f>
        <v>28361.373998939605</v>
      </c>
      <c r="Y23" s="24">
        <f t="shared" si="6"/>
        <v>78.787009965525002</v>
      </c>
      <c r="Z23" s="10">
        <v>223682.698154407</v>
      </c>
      <c r="AA23" s="11">
        <v>3.16070556640625</v>
      </c>
      <c r="AB23" s="14">
        <f>$X$101+1*(Z23-216046.5)</f>
        <v>7634.7237401076054</v>
      </c>
      <c r="AC23" s="22">
        <f t="shared" si="7"/>
        <v>21.208996283372471</v>
      </c>
      <c r="AD23" s="13">
        <v>259686.12546350699</v>
      </c>
      <c r="AE23" s="13">
        <v>2.96905517578125</v>
      </c>
      <c r="AF23" s="12">
        <f>$AB$101-1*(AD23-252049.97)</f>
        <v>28361.416689839614</v>
      </c>
      <c r="AG23" s="24">
        <f t="shared" si="8"/>
        <v>78.78703512282533</v>
      </c>
      <c r="AH23" s="10">
        <v>295691.711192602</v>
      </c>
      <c r="AI23" s="11">
        <v>3.16192626953125</v>
      </c>
      <c r="AJ23" s="14">
        <f>$AF$101+1*(AH23-288055.5)</f>
        <v>7634.7794692025855</v>
      </c>
      <c r="AK23" s="22">
        <f t="shared" si="9"/>
        <v>0.972900390625</v>
      </c>
      <c r="AL23" s="13">
        <v>331695.170501702</v>
      </c>
      <c r="AM23" s="13">
        <v>2.9681396484375</v>
      </c>
      <c r="AN23" s="14">
        <f>$AJ$101-1*(AL23-324059)</f>
        <v>28361.457380739586</v>
      </c>
      <c r="AO23" s="24"/>
    </row>
    <row r="24" spans="1:41" x14ac:dyDescent="0.25">
      <c r="A24" s="9">
        <v>22</v>
      </c>
      <c r="B24" s="10">
        <v>8020.0442245291097</v>
      </c>
      <c r="C24" s="11">
        <v>3.157958984375</v>
      </c>
      <c r="D24" s="14">
        <f t="shared" si="0"/>
        <v>7999.7778245291092</v>
      </c>
      <c r="E24" s="22">
        <f t="shared" si="1"/>
        <v>22.222222366868767</v>
      </c>
      <c r="F24" s="13">
        <v>44023.739623628499</v>
      </c>
      <c r="G24" s="13">
        <v>2.96295166015625</v>
      </c>
      <c r="H24" s="20">
        <f>$D$101-1*(F24-36023)</f>
        <v>27998.2603524316</v>
      </c>
      <c r="I24" s="24">
        <f t="shared" si="2"/>
        <v>77.777184042273205</v>
      </c>
      <c r="J24" s="11">
        <v>80028.773355724697</v>
      </c>
      <c r="K24" s="11">
        <v>3.1537543402777302</v>
      </c>
      <c r="L24" s="14">
        <f>$H$101+1*(J24-72028.99)</f>
        <v>7998.8215566252838</v>
      </c>
      <c r="M24" s="22">
        <f t="shared" si="3"/>
        <v>22.220156243692983</v>
      </c>
      <c r="N24" s="13">
        <v>116032.154662824</v>
      </c>
      <c r="O24" s="13">
        <v>2.9656982421875</v>
      </c>
      <c r="P24" s="12">
        <f>$L$101-1*(N24-108032)</f>
        <v>27997.88904533258</v>
      </c>
      <c r="Q24" s="24">
        <f t="shared" si="4"/>
        <v>77.776954819380862</v>
      </c>
      <c r="R24" s="10">
        <v>152037.53438192001</v>
      </c>
      <c r="S24" s="11">
        <v>3.1581963433159701</v>
      </c>
      <c r="T24" s="14">
        <f>$P$101+1*(R24-144037.75)</f>
        <v>7998.451275720603</v>
      </c>
      <c r="U24" s="22">
        <f t="shared" si="5"/>
        <v>22.219356181128845</v>
      </c>
      <c r="V24" s="13">
        <v>188040.92569002</v>
      </c>
      <c r="W24" s="13">
        <v>2.96630859375</v>
      </c>
      <c r="X24" s="12">
        <f>$T$101-1*(V24-180041)</f>
        <v>27997.747737231599</v>
      </c>
      <c r="Y24" s="24">
        <f t="shared" si="6"/>
        <v>77.776867582931459</v>
      </c>
      <c r="Z24" s="10">
        <v>224046.32441611501</v>
      </c>
      <c r="AA24" s="11">
        <v>3.1614515516493098</v>
      </c>
      <c r="AB24" s="14">
        <f>$X$101+1*(Z24-216046.5)</f>
        <v>7998.3500018156119</v>
      </c>
      <c r="AC24" s="22">
        <f t="shared" si="7"/>
        <v>22.219137356662053</v>
      </c>
      <c r="AD24" s="13">
        <v>260049.751725215</v>
      </c>
      <c r="AE24" s="13">
        <v>2.967529296875</v>
      </c>
      <c r="AF24" s="12">
        <f>$AB$101-1*(AD24-252049.97)</f>
        <v>27997.790428131608</v>
      </c>
      <c r="AG24" s="24">
        <f t="shared" si="8"/>
        <v>77.776893938198484</v>
      </c>
      <c r="AH24" s="10">
        <v>296055.33745430998</v>
      </c>
      <c r="AI24" s="11">
        <v>3.1618584526909701</v>
      </c>
      <c r="AJ24" s="14">
        <f>$AF$101+1*(AH24-288055.5)</f>
        <v>7998.4057309105629</v>
      </c>
      <c r="AK24" s="22">
        <f t="shared" si="9"/>
        <v>0.97287952390491383</v>
      </c>
      <c r="AL24" s="13">
        <v>332058.79676340998</v>
      </c>
      <c r="AM24" s="13">
        <v>2.96661376953125</v>
      </c>
      <c r="AN24" s="14">
        <f>$AJ$101-1*(AL24-324059)</f>
        <v>27997.831119031609</v>
      </c>
      <c r="AO24" s="24"/>
    </row>
    <row r="25" spans="1:41" x14ac:dyDescent="0.25">
      <c r="A25" s="9">
        <v>23</v>
      </c>
      <c r="B25" s="10">
        <v>8383.6704862373099</v>
      </c>
      <c r="C25" s="11">
        <v>3.15759523950442</v>
      </c>
      <c r="D25" s="14">
        <f t="shared" si="0"/>
        <v>8363.4040862373095</v>
      </c>
      <c r="E25" s="22">
        <f t="shared" si="1"/>
        <v>23.232323375091266</v>
      </c>
      <c r="F25" s="13">
        <v>44387.365885336701</v>
      </c>
      <c r="G25" s="13">
        <v>2.9620361328125</v>
      </c>
      <c r="H25" s="20">
        <f>$D$101-1*(F25-36023)</f>
        <v>27634.634090723397</v>
      </c>
      <c r="I25" s="24">
        <f t="shared" si="2"/>
        <v>76.767056044194689</v>
      </c>
      <c r="J25" s="11">
        <v>80392.399617432893</v>
      </c>
      <c r="K25" s="11">
        <v>3.1544787474352498</v>
      </c>
      <c r="L25" s="14">
        <f>$H$101+1*(J25-72028.99)</f>
        <v>8362.4478183334795</v>
      </c>
      <c r="M25" s="22">
        <f t="shared" si="3"/>
        <v>23.230284084683976</v>
      </c>
      <c r="N25" s="13">
        <v>116395.780924533</v>
      </c>
      <c r="O25" s="13">
        <v>2.9644775390625</v>
      </c>
      <c r="P25" s="12">
        <f>$L$101-1*(N25-108032)</f>
        <v>27634.262783623584</v>
      </c>
      <c r="Q25" s="24">
        <f t="shared" si="4"/>
        <v>76.766816402077737</v>
      </c>
      <c r="R25" s="10">
        <v>152401.16064362801</v>
      </c>
      <c r="S25" s="11">
        <v>3.1587512083727298</v>
      </c>
      <c r="T25" s="14">
        <f>$P$101+1*(R25-144037.75)</f>
        <v>8362.0775374286095</v>
      </c>
      <c r="U25" s="22">
        <f t="shared" si="5"/>
        <v>23.22949441254223</v>
      </c>
      <c r="V25" s="13">
        <v>188404.551951728</v>
      </c>
      <c r="W25" s="13">
        <v>2.965087890625</v>
      </c>
      <c r="X25" s="12">
        <f>$T$101-1*(V25-180041)</f>
        <v>27634.121475523592</v>
      </c>
      <c r="Y25" s="24">
        <f t="shared" si="6"/>
        <v>76.76672520033793</v>
      </c>
      <c r="Z25" s="10">
        <v>224409.95067782301</v>
      </c>
      <c r="AA25" s="11">
        <v>3.16162109375</v>
      </c>
      <c r="AB25" s="14">
        <f>$X$101+1*(Z25-216046.5)</f>
        <v>8361.9762635236184</v>
      </c>
      <c r="AC25" s="22">
        <f t="shared" si="7"/>
        <v>23.229278429951634</v>
      </c>
      <c r="AD25" s="13">
        <v>260413.37798692301</v>
      </c>
      <c r="AE25" s="13">
        <v>2.96600341796875</v>
      </c>
      <c r="AF25" s="12">
        <f>$AB$101-1*(AD25-252049.97)</f>
        <v>27634.164166423601</v>
      </c>
      <c r="AG25" s="24">
        <f t="shared" si="8"/>
        <v>76.766752753571637</v>
      </c>
      <c r="AH25" s="10">
        <v>296418.96371601801</v>
      </c>
      <c r="AI25" s="11">
        <v>3.1629003659642101</v>
      </c>
      <c r="AJ25" s="14">
        <f>$AF$101+1*(AH25-288055.5)</f>
        <v>8362.0319926185985</v>
      </c>
      <c r="AK25" s="22">
        <f t="shared" si="9"/>
        <v>0.97320011260437234</v>
      </c>
      <c r="AL25" s="13">
        <v>332422.42302511801</v>
      </c>
      <c r="AM25" s="13">
        <v>2.965087890625</v>
      </c>
      <c r="AN25" s="14">
        <f>$AJ$101-1*(AL25-324059)</f>
        <v>27634.204857323573</v>
      </c>
      <c r="AO25" s="24"/>
    </row>
    <row r="26" spans="1:41" x14ac:dyDescent="0.25">
      <c r="A26" s="9">
        <v>24</v>
      </c>
      <c r="B26" s="10">
        <v>8747.2967479455001</v>
      </c>
      <c r="C26" s="11">
        <v>3.1582456646543502</v>
      </c>
      <c r="D26" s="14">
        <f t="shared" si="0"/>
        <v>8727.0303479454997</v>
      </c>
      <c r="E26" s="22">
        <f t="shared" si="1"/>
        <v>24.242424383313736</v>
      </c>
      <c r="F26" s="13">
        <v>44750.992147044897</v>
      </c>
      <c r="G26" s="13">
        <v>2.96112060546875</v>
      </c>
      <c r="H26" s="20">
        <f>$D$101-1*(F26-36023)</f>
        <v>27271.007829015201</v>
      </c>
      <c r="I26" s="24">
        <f t="shared" si="2"/>
        <v>75.756928046116201</v>
      </c>
      <c r="J26" s="11">
        <v>80756.025879141103</v>
      </c>
      <c r="K26" s="11">
        <v>3.1543061227509899</v>
      </c>
      <c r="L26" s="14">
        <f>$H$101+1*(J26-72028.99)</f>
        <v>8726.0740800416897</v>
      </c>
      <c r="M26" s="22">
        <f t="shared" si="3"/>
        <v>24.240411925675005</v>
      </c>
      <c r="N26" s="13">
        <v>116759.40718624101</v>
      </c>
      <c r="O26" s="13">
        <v>2.96356201171875</v>
      </c>
      <c r="P26" s="12">
        <f>$L$101-1*(N26-108032)</f>
        <v>27270.636521915578</v>
      </c>
      <c r="Q26" s="24">
        <f t="shared" si="4"/>
        <v>75.75667798477734</v>
      </c>
      <c r="R26" s="10">
        <v>152764.78690533701</v>
      </c>
      <c r="S26" s="11">
        <v>3.1585970791906601</v>
      </c>
      <c r="T26" s="14">
        <f>$P$101+1*(R26-144037.75)</f>
        <v>8725.7037991376055</v>
      </c>
      <c r="U26" s="22">
        <f t="shared" si="5"/>
        <v>24.23963264395837</v>
      </c>
      <c r="V26" s="13">
        <v>188768.178213437</v>
      </c>
      <c r="W26" s="13">
        <v>2.9638671875</v>
      </c>
      <c r="X26" s="12">
        <f>$T$101-1*(V26-180041)</f>
        <v>27270.495213814596</v>
      </c>
      <c r="Y26" s="24">
        <f t="shared" si="6"/>
        <v>75.756582817741631</v>
      </c>
      <c r="Z26" s="10">
        <v>224773.57693953201</v>
      </c>
      <c r="AA26" s="11">
        <v>3.1622221975614502</v>
      </c>
      <c r="AB26" s="14">
        <f>$X$101+1*(Z26-216046.5)</f>
        <v>8725.6025252326144</v>
      </c>
      <c r="AC26" s="22">
        <f t="shared" si="7"/>
        <v>24.239419503243962</v>
      </c>
      <c r="AD26" s="13">
        <v>260777.004248632</v>
      </c>
      <c r="AE26" s="13">
        <v>2.96478271484375</v>
      </c>
      <c r="AF26" s="12">
        <f>$AB$101-1*(AD26-252049.97)</f>
        <v>27270.537904714605</v>
      </c>
      <c r="AG26" s="24">
        <f t="shared" si="8"/>
        <v>75.756611568942034</v>
      </c>
      <c r="AH26" s="10">
        <v>296782.58997772698</v>
      </c>
      <c r="AI26" s="11">
        <v>3.1628325491239502</v>
      </c>
      <c r="AJ26" s="14">
        <f>$AF$101+1*(AH26-288055.5)</f>
        <v>8725.6582543275654</v>
      </c>
      <c r="AK26" s="22">
        <f t="shared" si="9"/>
        <v>0.97317924588429239</v>
      </c>
      <c r="AL26" s="13">
        <v>332786.04928682698</v>
      </c>
      <c r="AM26" s="13">
        <v>2.96356201171875</v>
      </c>
      <c r="AN26" s="14">
        <f>$AJ$101-1*(AL26-324059)</f>
        <v>27270.578595614606</v>
      </c>
      <c r="AO26" s="24"/>
    </row>
    <row r="27" spans="1:41" x14ac:dyDescent="0.25">
      <c r="A27" s="9">
        <v>25</v>
      </c>
      <c r="B27" s="10">
        <v>9110.9230096536994</v>
      </c>
      <c r="C27" s="11">
        <v>3.1582549124053099</v>
      </c>
      <c r="D27" s="14">
        <f t="shared" si="0"/>
        <v>9090.656609653699</v>
      </c>
      <c r="E27" s="22">
        <f t="shared" si="1"/>
        <v>25.252525391536235</v>
      </c>
      <c r="F27" s="13">
        <v>45114.6184087531</v>
      </c>
      <c r="G27" s="13">
        <v>2.960205078125</v>
      </c>
      <c r="H27" s="20">
        <f>$D$101-1*(F27-36023)</f>
        <v>26907.381567306998</v>
      </c>
      <c r="I27" s="24">
        <f t="shared" si="2"/>
        <v>74.746800048037684</v>
      </c>
      <c r="J27" s="11">
        <v>81119.652140849299</v>
      </c>
      <c r="K27" s="11">
        <v>3.15449724293723</v>
      </c>
      <c r="L27" s="14">
        <f>$H$101+1*(J27-72028.99)</f>
        <v>9089.7003417498854</v>
      </c>
      <c r="M27" s="22">
        <f t="shared" si="3"/>
        <v>25.250539766665998</v>
      </c>
      <c r="N27" s="13">
        <v>117123.033447949</v>
      </c>
      <c r="O27" s="13">
        <v>2.962646484375</v>
      </c>
      <c r="P27" s="12">
        <f>$L$101-1*(N27-108032)</f>
        <v>26907.010260207586</v>
      </c>
      <c r="Q27" s="24">
        <f t="shared" si="4"/>
        <v>74.746539567477015</v>
      </c>
      <c r="R27" s="10">
        <v>153128.41316704499</v>
      </c>
      <c r="S27" s="11">
        <v>3.15948486328125</v>
      </c>
      <c r="T27" s="14">
        <f>$P$101+1*(R27-144037.75)</f>
        <v>9089.3300608455829</v>
      </c>
      <c r="U27" s="22">
        <f t="shared" si="5"/>
        <v>25.249770875371674</v>
      </c>
      <c r="V27" s="13">
        <v>189131.80447514501</v>
      </c>
      <c r="W27" s="13">
        <v>2.96295166015625</v>
      </c>
      <c r="X27" s="12">
        <f>$T$101-1*(V27-180041)</f>
        <v>26906.86895210659</v>
      </c>
      <c r="Y27" s="24">
        <f t="shared" si="6"/>
        <v>74.746440435148102</v>
      </c>
      <c r="Z27" s="10">
        <v>225137.20320123999</v>
      </c>
      <c r="AA27" s="11">
        <v>3.16252737334298</v>
      </c>
      <c r="AB27" s="14">
        <f>$X$101+1*(Z27-216046.5)</f>
        <v>9089.2287869405918</v>
      </c>
      <c r="AC27" s="22">
        <f t="shared" si="7"/>
        <v>25.249560576533458</v>
      </c>
      <c r="AD27" s="13">
        <v>261140.63051034001</v>
      </c>
      <c r="AE27" s="13">
        <v>2.96356201171875</v>
      </c>
      <c r="AF27" s="12">
        <f>$AB$101-1*(AD27-252049.97)</f>
        <v>26906.911643006599</v>
      </c>
      <c r="AG27" s="24">
        <f t="shared" si="8"/>
        <v>74.746470384315174</v>
      </c>
      <c r="AH27" s="10">
        <v>297146.21623943502</v>
      </c>
      <c r="AI27" s="11">
        <v>3.1634521484375</v>
      </c>
      <c r="AJ27" s="14">
        <f>$AF$101+1*(AH27-288055.5)</f>
        <v>9089.284516035601</v>
      </c>
      <c r="AK27" s="22">
        <f t="shared" si="9"/>
        <v>0.97336989182692313</v>
      </c>
      <c r="AL27" s="13">
        <v>333149.67554853501</v>
      </c>
      <c r="AM27" s="13">
        <v>2.962646484375</v>
      </c>
      <c r="AN27" s="14">
        <f>$AJ$101-1*(AL27-324059)</f>
        <v>26906.952333906571</v>
      </c>
      <c r="AO27" s="24"/>
    </row>
    <row r="28" spans="1:41" x14ac:dyDescent="0.25">
      <c r="A28" s="9">
        <v>26</v>
      </c>
      <c r="B28" s="10">
        <v>9474.5492713618896</v>
      </c>
      <c r="C28" s="11">
        <v>3.15765380859375</v>
      </c>
      <c r="D28" s="14">
        <f t="shared" si="0"/>
        <v>9454.2828713618892</v>
      </c>
      <c r="E28" s="22">
        <f t="shared" si="1"/>
        <v>26.262626399758705</v>
      </c>
      <c r="F28" s="13">
        <v>45478.244670461303</v>
      </c>
      <c r="G28" s="13">
        <v>2.9595947265625</v>
      </c>
      <c r="H28" s="20">
        <f>$D$101-1*(F28-36023)</f>
        <v>26543.755305598796</v>
      </c>
      <c r="I28" s="24">
        <f t="shared" si="2"/>
        <v>73.736672049959168</v>
      </c>
      <c r="J28" s="11">
        <v>81483.278402557495</v>
      </c>
      <c r="K28" s="11">
        <v>3.1549935389047201</v>
      </c>
      <c r="L28" s="14">
        <f>$H$101+1*(J28-72028.99)</f>
        <v>9453.3266034580811</v>
      </c>
      <c r="M28" s="22">
        <f t="shared" si="3"/>
        <v>26.260667607656991</v>
      </c>
      <c r="N28" s="13">
        <v>117486.659709657</v>
      </c>
      <c r="O28" s="13">
        <v>2.9620361328125</v>
      </c>
      <c r="P28" s="12">
        <f>$L$101-1*(N28-108032)</f>
        <v>26543.383998499579</v>
      </c>
      <c r="Q28" s="24">
        <f t="shared" si="4"/>
        <v>73.736401150176619</v>
      </c>
      <c r="R28" s="10">
        <v>153492.03942875299</v>
      </c>
      <c r="S28" s="11">
        <v>3.1597900390625</v>
      </c>
      <c r="T28" s="14">
        <f>$P$101+1*(R28-144037.75)</f>
        <v>9452.9563225535894</v>
      </c>
      <c r="U28" s="22">
        <f t="shared" si="5"/>
        <v>26.259909106785063</v>
      </c>
      <c r="V28" s="13">
        <v>189495.43073685301</v>
      </c>
      <c r="W28" s="13">
        <v>2.9620361328125</v>
      </c>
      <c r="X28" s="12">
        <f>$T$101-1*(V28-180041)</f>
        <v>26543.242690398583</v>
      </c>
      <c r="Y28" s="24">
        <f t="shared" si="6"/>
        <v>73.736298052554559</v>
      </c>
      <c r="Z28" s="10">
        <v>225500.82946294799</v>
      </c>
      <c r="AA28" s="11">
        <v>3.1624040699968399</v>
      </c>
      <c r="AB28" s="14">
        <f>$X$101+1*(Z28-216046.5)</f>
        <v>9452.8550486485983</v>
      </c>
      <c r="AC28" s="22">
        <f t="shared" si="7"/>
        <v>26.259701649823043</v>
      </c>
      <c r="AD28" s="13">
        <v>261504.25677204799</v>
      </c>
      <c r="AE28" s="13">
        <v>2.962646484375</v>
      </c>
      <c r="AF28" s="12">
        <f>$AB$101-1*(AD28-252049.97)</f>
        <v>26543.285381298621</v>
      </c>
      <c r="AG28" s="24">
        <f t="shared" si="8"/>
        <v>73.736329199688399</v>
      </c>
      <c r="AH28" s="10">
        <v>297509.84250114299</v>
      </c>
      <c r="AI28" s="11">
        <v>3.1632795237531499</v>
      </c>
      <c r="AJ28" s="14">
        <f>$AF$101+1*(AH28-288055.5)</f>
        <v>9452.9107777435784</v>
      </c>
      <c r="AK28" s="22">
        <f t="shared" si="9"/>
        <v>0.97331677653943072</v>
      </c>
      <c r="AL28" s="13">
        <v>333513.30181024299</v>
      </c>
      <c r="AM28" s="13">
        <v>2.96142578125</v>
      </c>
      <c r="AN28" s="14">
        <f>$AJ$101-1*(AL28-324059)</f>
        <v>26543.326072198593</v>
      </c>
      <c r="AO28" s="24"/>
    </row>
    <row r="29" spans="1:41" x14ac:dyDescent="0.25">
      <c r="A29" s="9">
        <v>27</v>
      </c>
      <c r="B29" s="10">
        <v>9838.1755330700908</v>
      </c>
      <c r="C29" s="11">
        <v>3.15826416015625</v>
      </c>
      <c r="D29" s="14">
        <f t="shared" si="0"/>
        <v>9817.9091330700903</v>
      </c>
      <c r="E29" s="22">
        <f t="shared" si="1"/>
        <v>27.272727407981208</v>
      </c>
      <c r="F29" s="13">
        <v>45841.870932169499</v>
      </c>
      <c r="G29" s="13">
        <v>2.95867919921875</v>
      </c>
      <c r="H29" s="20">
        <f>$D$101-1*(F29-36023)</f>
        <v>26180.1290438906</v>
      </c>
      <c r="I29" s="24">
        <f t="shared" si="2"/>
        <v>72.72654405188068</v>
      </c>
      <c r="J29" s="11">
        <v>81846.904664265705</v>
      </c>
      <c r="K29" s="11">
        <v>3.15557306463058</v>
      </c>
      <c r="L29" s="14">
        <f>$H$101+1*(J29-72028.99)</f>
        <v>9816.9528651662913</v>
      </c>
      <c r="M29" s="22">
        <f t="shared" si="3"/>
        <v>27.270795448648023</v>
      </c>
      <c r="N29" s="13">
        <v>117850.285971365</v>
      </c>
      <c r="O29" s="13">
        <v>2.96142578125</v>
      </c>
      <c r="P29" s="12">
        <f>$L$101-1*(N29-108032)</f>
        <v>26179.757736791587</v>
      </c>
      <c r="Q29" s="24">
        <f t="shared" si="4"/>
        <v>72.726262732876279</v>
      </c>
      <c r="R29" s="10">
        <v>153855.665690461</v>
      </c>
      <c r="S29" s="11">
        <v>3.1601229580966201</v>
      </c>
      <c r="T29" s="14">
        <f>$P$101+1*(R29-144037.75)</f>
        <v>9816.5825842615959</v>
      </c>
      <c r="U29" s="22">
        <f t="shared" si="5"/>
        <v>27.270047338198456</v>
      </c>
      <c r="V29" s="13">
        <v>189859.05699856099</v>
      </c>
      <c r="W29" s="13">
        <v>2.96142578125</v>
      </c>
      <c r="X29" s="12">
        <f>$T$101-1*(V29-180041)</f>
        <v>26179.616428690606</v>
      </c>
      <c r="Y29" s="24">
        <f t="shared" si="6"/>
        <v>72.726155669961102</v>
      </c>
      <c r="Z29" s="10">
        <v>225864.455724656</v>
      </c>
      <c r="AA29" s="11">
        <v>3.1630914861505102</v>
      </c>
      <c r="AB29" s="14">
        <f>$X$101+1*(Z29-216046.5)</f>
        <v>9816.4813103566048</v>
      </c>
      <c r="AC29" s="22">
        <f t="shared" si="7"/>
        <v>27.269842723112621</v>
      </c>
      <c r="AD29" s="13">
        <v>261867.88303375599</v>
      </c>
      <c r="AE29" s="13">
        <v>2.9620361328125</v>
      </c>
      <c r="AF29" s="12">
        <f>$AB$101-1*(AD29-252049.97)</f>
        <v>26179.659119590615</v>
      </c>
      <c r="AG29" s="24">
        <f t="shared" si="8"/>
        <v>72.726188015061553</v>
      </c>
      <c r="AH29" s="10">
        <v>297873.46876285097</v>
      </c>
      <c r="AI29" s="11">
        <v>3.1637018377130102</v>
      </c>
      <c r="AJ29" s="14">
        <f>$AF$101+1*(AH29-288055.5)</f>
        <v>9816.5370394515558</v>
      </c>
      <c r="AK29" s="22">
        <f t="shared" si="9"/>
        <v>0.97344671929631077</v>
      </c>
      <c r="AL29" s="13">
        <v>333876.92807195103</v>
      </c>
      <c r="AM29" s="13">
        <v>2.9608154296875</v>
      </c>
      <c r="AN29" s="14">
        <f>$AJ$101-1*(AL29-324059)</f>
        <v>26179.699810490558</v>
      </c>
      <c r="AO29" s="24"/>
    </row>
    <row r="30" spans="1:41" x14ac:dyDescent="0.25">
      <c r="A30" s="9">
        <v>28</v>
      </c>
      <c r="B30" s="10">
        <v>10201.801794778299</v>
      </c>
      <c r="C30" s="11">
        <v>3.1579805624605202</v>
      </c>
      <c r="D30" s="14">
        <f t="shared" si="0"/>
        <v>10181.535394778299</v>
      </c>
      <c r="E30" s="22">
        <f t="shared" si="1"/>
        <v>28.282828416203724</v>
      </c>
      <c r="F30" s="13">
        <v>46205.497193877702</v>
      </c>
      <c r="G30" s="13">
        <v>2.957763671875</v>
      </c>
      <c r="H30" s="20">
        <f>$D$101-1*(F30-36023)</f>
        <v>25816.502782182397</v>
      </c>
      <c r="I30" s="24">
        <f t="shared" si="2"/>
        <v>71.716416053802163</v>
      </c>
      <c r="J30" s="11">
        <v>82210.530925973901</v>
      </c>
      <c r="K30" s="11">
        <v>3.1556809550584402</v>
      </c>
      <c r="L30" s="14">
        <f>$H$101+1*(J30-72028.99)</f>
        <v>10180.579126874487</v>
      </c>
      <c r="M30" s="22">
        <f t="shared" si="3"/>
        <v>28.280923289639016</v>
      </c>
      <c r="N30" s="13">
        <v>118213.91223307401</v>
      </c>
      <c r="O30" s="13">
        <v>2.9608154296875</v>
      </c>
      <c r="P30" s="12">
        <f>$L$101-1*(N30-108032)</f>
        <v>25816.131475082577</v>
      </c>
      <c r="Q30" s="24">
        <f t="shared" si="4"/>
        <v>71.716124315573097</v>
      </c>
      <c r="R30" s="10">
        <v>154219.29195216901</v>
      </c>
      <c r="S30" s="11">
        <v>3.1605206113872399</v>
      </c>
      <c r="T30" s="14">
        <f>$P$101+1*(R30-144037.75)</f>
        <v>10180.208845969602</v>
      </c>
      <c r="U30" s="22">
        <f t="shared" si="5"/>
        <v>28.280185569611842</v>
      </c>
      <c r="V30" s="13">
        <v>190222.683260269</v>
      </c>
      <c r="W30" s="13">
        <v>2.9608154296875</v>
      </c>
      <c r="X30" s="12">
        <f>$T$101-1*(V30-180041)</f>
        <v>25815.990166982599</v>
      </c>
      <c r="Y30" s="24">
        <f t="shared" si="6"/>
        <v>71.716013287367559</v>
      </c>
      <c r="Z30" s="10">
        <v>226228.08198636401</v>
      </c>
      <c r="AA30" s="11">
        <v>3.1634305703519101</v>
      </c>
      <c r="AB30" s="14">
        <f>$X$101+1*(Z30-216046.5)</f>
        <v>10180.107572064611</v>
      </c>
      <c r="AC30" s="22">
        <f t="shared" si="7"/>
        <v>28.279983796402203</v>
      </c>
      <c r="AD30" s="13">
        <v>262231.50929546403</v>
      </c>
      <c r="AE30" s="13">
        <v>2.9612624043165701</v>
      </c>
      <c r="AF30" s="12">
        <f>$AB$101-1*(AD30-252049.97)</f>
        <v>25816.032857882579</v>
      </c>
      <c r="AG30" s="24">
        <f t="shared" si="8"/>
        <v>71.716046830434621</v>
      </c>
      <c r="AH30" s="10">
        <v>298237.09502455901</v>
      </c>
      <c r="AI30" s="11">
        <v>3.1637789023046601</v>
      </c>
      <c r="AJ30" s="14">
        <f>$AF$101+1*(AH30-288055.5)</f>
        <v>10180.163301159591</v>
      </c>
      <c r="AK30" s="22">
        <f t="shared" si="9"/>
        <v>0.97347043147835699</v>
      </c>
      <c r="AL30" s="13">
        <v>334240.55433365901</v>
      </c>
      <c r="AM30" s="13">
        <v>2.95989990234375</v>
      </c>
      <c r="AN30" s="14">
        <f>$AJ$101-1*(AL30-324059)</f>
        <v>25816.07354878258</v>
      </c>
      <c r="AO30" s="24"/>
    </row>
    <row r="31" spans="1:41" x14ac:dyDescent="0.25">
      <c r="A31" s="9">
        <v>29</v>
      </c>
      <c r="B31" s="10">
        <v>10565.4280564865</v>
      </c>
      <c r="C31" s="11">
        <v>3.1585200145991199</v>
      </c>
      <c r="D31" s="14">
        <f t="shared" si="0"/>
        <v>10545.1616564865</v>
      </c>
      <c r="E31" s="22">
        <f t="shared" si="1"/>
        <v>29.292929424426227</v>
      </c>
      <c r="F31" s="13">
        <v>46569.123455585897</v>
      </c>
      <c r="G31" s="13">
        <v>2.9571533203125</v>
      </c>
      <c r="H31" s="20">
        <f>$D$101-1*(F31-36023)</f>
        <v>25452.876520474201</v>
      </c>
      <c r="I31" s="24">
        <f t="shared" si="2"/>
        <v>70.706288055723675</v>
      </c>
      <c r="J31" s="11">
        <v>82574.157187682096</v>
      </c>
      <c r="K31" s="11">
        <v>3.1559213965831199</v>
      </c>
      <c r="L31" s="14">
        <f>$H$101+1*(J31-72028.99)</f>
        <v>10544.205388582683</v>
      </c>
      <c r="M31" s="22">
        <f t="shared" si="3"/>
        <v>29.291051130630009</v>
      </c>
      <c r="N31" s="13">
        <v>118577.538494782</v>
      </c>
      <c r="O31" s="13">
        <v>2.960205078125</v>
      </c>
      <c r="P31" s="12">
        <f>$L$101-1*(N31-108032)</f>
        <v>25452.505213374585</v>
      </c>
      <c r="Q31" s="24">
        <f t="shared" si="4"/>
        <v>70.705985898272758</v>
      </c>
      <c r="R31" s="10">
        <v>154582.918213878</v>
      </c>
      <c r="S31" s="11">
        <v>3.16065624506779</v>
      </c>
      <c r="T31" s="14">
        <f>$P$101+1*(R31-144037.75)</f>
        <v>10543.835107678598</v>
      </c>
      <c r="U31" s="22">
        <f t="shared" si="5"/>
        <v>29.290323801027977</v>
      </c>
      <c r="V31" s="13">
        <v>190586.30952197799</v>
      </c>
      <c r="W31" s="13">
        <v>2.960205078125</v>
      </c>
      <c r="X31" s="12">
        <f>$T$101-1*(V31-180041)</f>
        <v>25452.363905273603</v>
      </c>
      <c r="Y31" s="24">
        <f t="shared" si="6"/>
        <v>70.705870904771274</v>
      </c>
      <c r="Z31" s="10">
        <v>226591.708248073</v>
      </c>
      <c r="AA31" s="11">
        <v>3.16319629399471</v>
      </c>
      <c r="AB31" s="14">
        <f>$X$101+1*(Z31-216046.5)</f>
        <v>10543.733833773607</v>
      </c>
      <c r="AC31" s="22">
        <f t="shared" si="7"/>
        <v>29.290124869694534</v>
      </c>
      <c r="AD31" s="13">
        <v>262595.13555717299</v>
      </c>
      <c r="AE31" s="13">
        <v>2.9608154296875</v>
      </c>
      <c r="AF31" s="12">
        <f>$AB$101-1*(AD31-252049.97)</f>
        <v>25452.406596173612</v>
      </c>
      <c r="AG31" s="24">
        <f t="shared" si="8"/>
        <v>70.705905645805103</v>
      </c>
      <c r="AH31" s="10">
        <v>298600.72128626797</v>
      </c>
      <c r="AI31" s="11">
        <v>3.1642197117658402</v>
      </c>
      <c r="AJ31" s="14">
        <f>$AF$101+1*(AH31-288055.5)</f>
        <v>10543.789562868558</v>
      </c>
      <c r="AK31" s="22">
        <f t="shared" si="9"/>
        <v>0.97360606515872006</v>
      </c>
      <c r="AL31" s="13">
        <v>334604.18059536797</v>
      </c>
      <c r="AM31" s="13">
        <v>2.95928955078125</v>
      </c>
      <c r="AN31" s="14">
        <f>$AJ$101-1*(AL31-324059)</f>
        <v>25452.447287073614</v>
      </c>
      <c r="AO31" s="24"/>
    </row>
    <row r="32" spans="1:41" x14ac:dyDescent="0.25">
      <c r="A32" s="9">
        <v>30</v>
      </c>
      <c r="B32" s="10">
        <v>10929.0543181947</v>
      </c>
      <c r="C32" s="11">
        <v>3.15850460168086</v>
      </c>
      <c r="D32" s="14">
        <f t="shared" si="0"/>
        <v>10908.787918194699</v>
      </c>
      <c r="E32" s="22">
        <f t="shared" si="1"/>
        <v>30.303030432648725</v>
      </c>
      <c r="F32" s="13">
        <v>46932.7497172941</v>
      </c>
      <c r="G32" s="13">
        <v>2.95623779296875</v>
      </c>
      <c r="H32" s="20">
        <f>$D$101-1*(F32-36023)</f>
        <v>25089.250258765998</v>
      </c>
      <c r="I32" s="24">
        <f t="shared" si="2"/>
        <v>69.696160057645173</v>
      </c>
      <c r="J32" s="11">
        <v>82937.783449390306</v>
      </c>
      <c r="K32" s="11">
        <v>3.15619266394408</v>
      </c>
      <c r="L32" s="14">
        <f>$H$101+1*(J32-72028.99)</f>
        <v>10907.831650290893</v>
      </c>
      <c r="M32" s="22">
        <f t="shared" si="3"/>
        <v>30.301178971621042</v>
      </c>
      <c r="N32" s="13">
        <v>118941.16475649</v>
      </c>
      <c r="O32" s="13">
        <v>2.95928955078125</v>
      </c>
      <c r="P32" s="12">
        <f>$L$101-1*(N32-108032)</f>
        <v>25088.878951666578</v>
      </c>
      <c r="Q32" s="24">
        <f t="shared" si="4"/>
        <v>69.69584748097239</v>
      </c>
      <c r="R32" s="10">
        <v>154946.54447558601</v>
      </c>
      <c r="S32" s="11">
        <v>3.1611402107006201</v>
      </c>
      <c r="T32" s="14">
        <f>$P$101+1*(R32-144037.75)</f>
        <v>10907.461369386605</v>
      </c>
      <c r="U32" s="22">
        <f t="shared" si="5"/>
        <v>30.300462032441366</v>
      </c>
      <c r="V32" s="13">
        <v>190949.935783686</v>
      </c>
      <c r="W32" s="13">
        <v>2.9595947265625</v>
      </c>
      <c r="X32" s="12">
        <f>$T$101-1*(V32-180041)</f>
        <v>25088.737643565597</v>
      </c>
      <c r="Y32" s="24">
        <f t="shared" si="6"/>
        <v>69.695728522177731</v>
      </c>
      <c r="Z32" s="10">
        <v>226955.33450978101</v>
      </c>
      <c r="AA32" s="11">
        <v>3.1635168826940601</v>
      </c>
      <c r="AB32" s="14">
        <f>$X$101+1*(Z32-216046.5)</f>
        <v>10907.360095481614</v>
      </c>
      <c r="AC32" s="22">
        <f t="shared" si="7"/>
        <v>30.300265942984112</v>
      </c>
      <c r="AD32" s="13">
        <v>262958.76181888097</v>
      </c>
      <c r="AE32" s="13">
        <v>2.960205078125</v>
      </c>
      <c r="AF32" s="12">
        <f>$AB$101-1*(AD32-252049.97)</f>
        <v>25088.780334465635</v>
      </c>
      <c r="AG32" s="24">
        <f t="shared" si="8"/>
        <v>69.695764461178328</v>
      </c>
      <c r="AH32" s="10">
        <v>298964.34754797601</v>
      </c>
      <c r="AI32" s="11">
        <v>3.1635168826940498</v>
      </c>
      <c r="AJ32" s="14">
        <f>$AF$101+1*(AH32-288055.5)</f>
        <v>10907.415824576594</v>
      </c>
      <c r="AK32" s="22">
        <f t="shared" si="9"/>
        <v>0.97338981005970759</v>
      </c>
      <c r="AL32" s="13">
        <v>334967.80685707601</v>
      </c>
      <c r="AM32" s="13">
        <v>2.95867919921875</v>
      </c>
      <c r="AN32" s="14">
        <f>$AJ$101-1*(AL32-324059)</f>
        <v>25088.821025365578</v>
      </c>
      <c r="AO32" s="24"/>
    </row>
    <row r="33" spans="1:41" x14ac:dyDescent="0.25">
      <c r="A33" s="9">
        <v>31</v>
      </c>
      <c r="B33" s="10">
        <v>11292.680579902901</v>
      </c>
      <c r="C33" s="11">
        <v>3.1585169320154698</v>
      </c>
      <c r="D33" s="14">
        <f t="shared" si="0"/>
        <v>11272.4141799029</v>
      </c>
      <c r="E33" s="22">
        <f t="shared" si="1"/>
        <v>31.313131440871228</v>
      </c>
      <c r="F33" s="13">
        <v>47296.375979002201</v>
      </c>
      <c r="G33" s="13">
        <v>2.95562744140625</v>
      </c>
      <c r="H33" s="20">
        <f>$D$101-1*(F33-36023)</f>
        <v>24725.623997057897</v>
      </c>
      <c r="I33" s="24">
        <f t="shared" si="2"/>
        <v>68.686032059566941</v>
      </c>
      <c r="J33" s="11">
        <v>83301.409711098502</v>
      </c>
      <c r="K33" s="11">
        <v>3.15704345703125</v>
      </c>
      <c r="L33" s="14">
        <f>$H$101+1*(J33-72028.99)</f>
        <v>11271.457911999089</v>
      </c>
      <c r="M33" s="22">
        <f t="shared" si="3"/>
        <v>31.311306812612028</v>
      </c>
      <c r="N33" s="13">
        <v>119304.791018198</v>
      </c>
      <c r="O33" s="13">
        <v>2.95867919921875</v>
      </c>
      <c r="P33" s="12">
        <f>$L$101-1*(N33-108032)</f>
        <v>24725.252689958586</v>
      </c>
      <c r="Q33" s="24">
        <f t="shared" si="4"/>
        <v>68.685709063672036</v>
      </c>
      <c r="R33" s="10">
        <v>155310.17073729401</v>
      </c>
      <c r="S33" s="11">
        <v>3.1613683218907398</v>
      </c>
      <c r="T33" s="14">
        <f>$P$101+1*(R33-144037.75)</f>
        <v>11271.087631094611</v>
      </c>
      <c r="U33" s="22">
        <f t="shared" si="5"/>
        <v>31.310600263854756</v>
      </c>
      <c r="V33" s="13">
        <v>191313.56204539401</v>
      </c>
      <c r="W33" s="13">
        <v>2.958984375</v>
      </c>
      <c r="X33" s="12">
        <f>$T$101-1*(V33-180041)</f>
        <v>24725.11138185759</v>
      </c>
      <c r="Y33" s="24">
        <f t="shared" si="6"/>
        <v>68.685586139584188</v>
      </c>
      <c r="Z33" s="10">
        <v>227318.96077148899</v>
      </c>
      <c r="AA33" s="11">
        <v>3.16386213206273</v>
      </c>
      <c r="AB33" s="14">
        <f>$X$101+1*(Z33-216046.5)</f>
        <v>11270.986357189591</v>
      </c>
      <c r="AC33" s="22">
        <f t="shared" si="7"/>
        <v>31.310407016273611</v>
      </c>
      <c r="AD33" s="13">
        <v>263322.38808058901</v>
      </c>
      <c r="AE33" s="13">
        <v>2.9595947265625</v>
      </c>
      <c r="AF33" s="12">
        <f>$AB$101-1*(AD33-252049.97)</f>
        <v>24725.154072757599</v>
      </c>
      <c r="AG33" s="24">
        <f t="shared" si="8"/>
        <v>68.685623276551382</v>
      </c>
      <c r="AH33" s="10">
        <v>299327.97380968399</v>
      </c>
      <c r="AI33" s="11">
        <v>3.16442007970327</v>
      </c>
      <c r="AJ33" s="14">
        <f>$AF$101+1*(AH33-288055.5)</f>
        <v>11271.042086284571</v>
      </c>
      <c r="AK33" s="22">
        <f t="shared" si="9"/>
        <v>0.97366771683177533</v>
      </c>
      <c r="AL33" s="13">
        <v>335331.43311878399</v>
      </c>
      <c r="AM33" s="13">
        <v>2.9583740234375</v>
      </c>
      <c r="AN33" s="14">
        <f>$AJ$101-1*(AL33-324059)</f>
        <v>24725.194763657601</v>
      </c>
      <c r="AO33" s="24"/>
    </row>
    <row r="34" spans="1:41" x14ac:dyDescent="0.25">
      <c r="A34" s="9">
        <v>32</v>
      </c>
      <c r="B34" s="10">
        <v>11656.3068416111</v>
      </c>
      <c r="C34" s="11">
        <v>3.1594602026120802</v>
      </c>
      <c r="D34" s="14">
        <f t="shared" si="0"/>
        <v>11636.0404416111</v>
      </c>
      <c r="E34" s="22">
        <f t="shared" si="1"/>
        <v>32.323232449093723</v>
      </c>
      <c r="F34" s="13">
        <v>47660.002240710397</v>
      </c>
      <c r="G34" s="13">
        <v>2.95501708984375</v>
      </c>
      <c r="H34" s="20">
        <f>$D$101-1*(F34-36023)</f>
        <v>24361.997735349702</v>
      </c>
      <c r="I34" s="24">
        <f t="shared" si="2"/>
        <v>67.675904061488438</v>
      </c>
      <c r="J34" s="11">
        <v>83665.035972806698</v>
      </c>
      <c r="K34" s="11">
        <v>3.1573239721432098</v>
      </c>
      <c r="L34" s="14">
        <f>$H$101+1*(J34-72028.99)</f>
        <v>11635.084173707284</v>
      </c>
      <c r="M34" s="22">
        <f t="shared" si="3"/>
        <v>32.321434653603021</v>
      </c>
      <c r="N34" s="13">
        <v>119668.417279906</v>
      </c>
      <c r="O34" s="13">
        <v>2.95806884765625</v>
      </c>
      <c r="P34" s="12">
        <f>$L$101-1*(N34-108032)</f>
        <v>24361.62642825058</v>
      </c>
      <c r="Q34" s="24">
        <f t="shared" si="4"/>
        <v>67.675570646371654</v>
      </c>
      <c r="R34" s="10">
        <v>155673.79699900199</v>
      </c>
      <c r="S34" s="11">
        <v>3.1619139391967002</v>
      </c>
      <c r="T34" s="14">
        <f>$P$101+1*(R34-144037.75)</f>
        <v>11634.713892802589</v>
      </c>
      <c r="U34" s="22">
        <f t="shared" si="5"/>
        <v>32.320738495268067</v>
      </c>
      <c r="V34" s="13">
        <v>191677.18830710201</v>
      </c>
      <c r="W34" s="13">
        <v>2.9583740234375</v>
      </c>
      <c r="X34" s="12">
        <f>$T$101-1*(V34-180041)</f>
        <v>24361.485120149584</v>
      </c>
      <c r="Y34" s="24">
        <f t="shared" si="6"/>
        <v>67.675443756990646</v>
      </c>
      <c r="Z34" s="10">
        <v>227682.58703319699</v>
      </c>
      <c r="AA34" s="11">
        <v>3.1637449938842002</v>
      </c>
      <c r="AB34" s="14">
        <f>$X$101+1*(Z34-216046.5)</f>
        <v>11634.612618897598</v>
      </c>
      <c r="AC34" s="22">
        <f t="shared" si="7"/>
        <v>32.320548089563189</v>
      </c>
      <c r="AD34" s="13">
        <v>263686.01434229698</v>
      </c>
      <c r="AE34" s="13">
        <v>2.958984375</v>
      </c>
      <c r="AF34" s="12">
        <f>$AB$101-1*(AD34-252049.97)</f>
        <v>24361.527811049622</v>
      </c>
      <c r="AG34" s="24">
        <f t="shared" si="8"/>
        <v>67.675482091924621</v>
      </c>
      <c r="AH34" s="10">
        <v>299691.60007139202</v>
      </c>
      <c r="AI34" s="11">
        <v>3.1637819848878501</v>
      </c>
      <c r="AJ34" s="14">
        <f>$AF$101+1*(AH34-288055.5)</f>
        <v>11634.668347992607</v>
      </c>
      <c r="AK34" s="22">
        <f t="shared" si="9"/>
        <v>0.97347137996549238</v>
      </c>
      <c r="AL34" s="13">
        <v>335695.05938049202</v>
      </c>
      <c r="AM34" s="13">
        <v>2.957763671875</v>
      </c>
      <c r="AN34" s="14">
        <f>$AJ$101-1*(AL34-324059)</f>
        <v>24361.568501949565</v>
      </c>
      <c r="AO34" s="24"/>
    </row>
    <row r="35" spans="1:41" x14ac:dyDescent="0.25">
      <c r="A35" s="9">
        <v>33</v>
      </c>
      <c r="B35" s="10">
        <v>12019.933103319299</v>
      </c>
      <c r="C35" s="11">
        <v>3.1589762369791798</v>
      </c>
      <c r="D35" s="14">
        <f t="shared" si="0"/>
        <v>11999.666703319299</v>
      </c>
      <c r="E35" s="22">
        <f t="shared" si="1"/>
        <v>33.333333457316222</v>
      </c>
      <c r="F35" s="13">
        <v>48023.6285024186</v>
      </c>
      <c r="G35" s="13">
        <v>2.9541015625</v>
      </c>
      <c r="H35" s="20">
        <f>$D$101-1*(F35-36023)</f>
        <v>23998.371473641499</v>
      </c>
      <c r="I35" s="24">
        <f t="shared" si="2"/>
        <v>66.665776063409936</v>
      </c>
      <c r="J35" s="11">
        <v>84028.662234514893</v>
      </c>
      <c r="K35" s="11">
        <v>3.1575520833333801</v>
      </c>
      <c r="L35" s="14">
        <f>$H$101+1*(J35-72028.99)</f>
        <v>11998.71043541548</v>
      </c>
      <c r="M35" s="22">
        <f t="shared" si="3"/>
        <v>33.33156249459401</v>
      </c>
      <c r="N35" s="13">
        <v>120032.043541615</v>
      </c>
      <c r="O35" s="13">
        <v>2.9571533203125</v>
      </c>
      <c r="P35" s="12">
        <f>$L$101-1*(N35-108032)</f>
        <v>23998.000166541584</v>
      </c>
      <c r="Q35" s="24">
        <f t="shared" si="4"/>
        <v>66.665432229068529</v>
      </c>
      <c r="R35" s="10">
        <v>156037.42326071</v>
      </c>
      <c r="S35" s="11">
        <v>3.1623331705729201</v>
      </c>
      <c r="T35" s="14">
        <f>$P$101+1*(R35-144037.75)</f>
        <v>11998.340154510595</v>
      </c>
      <c r="U35" s="22">
        <f t="shared" si="5"/>
        <v>33.330876726681453</v>
      </c>
      <c r="V35" s="13">
        <v>192040.81456880999</v>
      </c>
      <c r="W35" s="13">
        <v>2.957763671875</v>
      </c>
      <c r="X35" s="12">
        <f>$T$101-1*(V35-180041)</f>
        <v>23997.858858441607</v>
      </c>
      <c r="Y35" s="24">
        <f t="shared" si="6"/>
        <v>66.665301374397188</v>
      </c>
      <c r="Z35" s="10">
        <v>228046.213294905</v>
      </c>
      <c r="AA35" s="11">
        <v>3.16375732421875</v>
      </c>
      <c r="AB35" s="14">
        <f>$X$101+1*(Z35-216046.5)</f>
        <v>11998.238880605604</v>
      </c>
      <c r="AC35" s="22">
        <f t="shared" si="7"/>
        <v>33.330689162852771</v>
      </c>
      <c r="AD35" s="13">
        <v>264049.64060400502</v>
      </c>
      <c r="AE35" s="13">
        <v>2.9583740234375</v>
      </c>
      <c r="AF35" s="12">
        <f>$AB$101-1*(AD35-252049.97)</f>
        <v>23997.901549341586</v>
      </c>
      <c r="AG35" s="24">
        <f t="shared" si="8"/>
        <v>66.66534090729769</v>
      </c>
      <c r="AH35" s="10">
        <v>300055.2263331</v>
      </c>
      <c r="AI35" s="11">
        <v>3.1642659505208299</v>
      </c>
      <c r="AJ35" s="14">
        <f>$AF$101+1*(AH35-288055.5)</f>
        <v>11998.294609700584</v>
      </c>
      <c r="AK35" s="22">
        <f t="shared" si="9"/>
        <v>0.97362029246794768</v>
      </c>
      <c r="AL35" s="13">
        <v>336058.6856422</v>
      </c>
      <c r="AM35" s="13">
        <v>2.9571533203125</v>
      </c>
      <c r="AN35" s="14">
        <f>$AJ$101-1*(AL35-324059)</f>
        <v>23997.942240241588</v>
      </c>
      <c r="AO35" s="24"/>
    </row>
    <row r="36" spans="1:41" x14ac:dyDescent="0.25">
      <c r="A36" s="9">
        <v>34</v>
      </c>
      <c r="B36" s="10">
        <v>12383.5593650275</v>
      </c>
      <c r="C36" s="11">
        <v>3.1598270300663001</v>
      </c>
      <c r="D36" s="14">
        <f t="shared" si="0"/>
        <v>12363.2929650275</v>
      </c>
      <c r="E36" s="22">
        <f t="shared" si="1"/>
        <v>34.343434465538721</v>
      </c>
      <c r="F36" s="13">
        <v>48387.254764126803</v>
      </c>
      <c r="G36" s="13">
        <v>2.9534912109375</v>
      </c>
      <c r="H36" s="20">
        <f>$D$101-1*(F36-36023)</f>
        <v>23634.745211933296</v>
      </c>
      <c r="I36" s="24">
        <f t="shared" si="2"/>
        <v>65.655648065331434</v>
      </c>
      <c r="J36" s="11">
        <v>84392.288496223104</v>
      </c>
      <c r="K36" s="11">
        <v>3.15756441366787</v>
      </c>
      <c r="L36" s="14">
        <f>$H$101+1*(J36-72028.99)</f>
        <v>12362.33669712369</v>
      </c>
      <c r="M36" s="22">
        <f t="shared" si="3"/>
        <v>34.341690335585042</v>
      </c>
      <c r="N36" s="13">
        <v>120395.66980332301</v>
      </c>
      <c r="O36" s="13">
        <v>2.95654296875</v>
      </c>
      <c r="P36" s="12">
        <f>$L$101-1*(N36-108032)</f>
        <v>23634.373904833577</v>
      </c>
      <c r="Q36" s="24">
        <f t="shared" si="4"/>
        <v>65.655293811768146</v>
      </c>
      <c r="R36" s="10">
        <v>156401.04952241899</v>
      </c>
      <c r="S36" s="11">
        <v>3.16183687460537</v>
      </c>
      <c r="T36" s="14">
        <f>$P$101+1*(R36-144037.75)</f>
        <v>12361.966416219591</v>
      </c>
      <c r="U36" s="22">
        <f t="shared" si="5"/>
        <v>34.341014958097588</v>
      </c>
      <c r="V36" s="13">
        <v>192404.44083051899</v>
      </c>
      <c r="W36" s="13">
        <v>2.9571533203125</v>
      </c>
      <c r="X36" s="12">
        <f>$T$101-1*(V36-180041)</f>
        <v>23634.232596732611</v>
      </c>
      <c r="Y36" s="24">
        <f t="shared" si="6"/>
        <v>65.655158991800917</v>
      </c>
      <c r="Z36" s="10">
        <v>228409.839556614</v>
      </c>
      <c r="AA36" s="11">
        <v>3.16402550899639</v>
      </c>
      <c r="AB36" s="14">
        <f>$X$101+1*(Z36-216046.5)</f>
        <v>12361.8651423146</v>
      </c>
      <c r="AC36" s="22">
        <f t="shared" si="7"/>
        <v>34.340830236145102</v>
      </c>
      <c r="AD36" s="13">
        <v>264413.26686571399</v>
      </c>
      <c r="AE36" s="13">
        <v>2.957763671875</v>
      </c>
      <c r="AF36" s="12">
        <f>$AB$101-1*(AD36-252049.97)</f>
        <v>23634.275287632619</v>
      </c>
      <c r="AG36" s="24">
        <f t="shared" si="8"/>
        <v>65.655199722668172</v>
      </c>
      <c r="AH36" s="10">
        <v>300418.85259480902</v>
      </c>
      <c r="AI36" s="11">
        <v>3.1642936937739501</v>
      </c>
      <c r="AJ36" s="14">
        <f>$AF$101+1*(AH36-288055.5)</f>
        <v>12361.920871409609</v>
      </c>
      <c r="AK36" s="22">
        <f t="shared" si="9"/>
        <v>0.97362882885352309</v>
      </c>
      <c r="AL36" s="13">
        <v>336422.31190390902</v>
      </c>
      <c r="AM36" s="13">
        <v>2.95684814453125</v>
      </c>
      <c r="AN36" s="14">
        <f>$AJ$101-1*(AL36-324059)</f>
        <v>23634.315978532562</v>
      </c>
      <c r="AO36" s="24"/>
    </row>
    <row r="37" spans="1:41" x14ac:dyDescent="0.25">
      <c r="A37" s="9">
        <v>35</v>
      </c>
      <c r="B37" s="10">
        <v>12747.1856267356</v>
      </c>
      <c r="C37" s="11">
        <v>3.1600458935053899</v>
      </c>
      <c r="D37" s="14">
        <f t="shared" si="0"/>
        <v>12726.919226735599</v>
      </c>
      <c r="E37" s="22">
        <f t="shared" si="1"/>
        <v>35.353535473760935</v>
      </c>
      <c r="F37" s="13">
        <v>48750.881025834999</v>
      </c>
      <c r="G37" s="13">
        <v>2.952880859375</v>
      </c>
      <c r="H37" s="20">
        <f>$D$101-1*(F37-36023)</f>
        <v>23271.1189502251</v>
      </c>
      <c r="I37" s="24">
        <f t="shared" si="2"/>
        <v>64.645520067252932</v>
      </c>
      <c r="J37" s="11">
        <v>84755.914757931299</v>
      </c>
      <c r="K37" s="11">
        <v>3.15821483881798</v>
      </c>
      <c r="L37" s="14">
        <f>$H$101+1*(J37-72028.99)</f>
        <v>12725.962958831886</v>
      </c>
      <c r="M37" s="22">
        <f t="shared" si="3"/>
        <v>35.351818176576039</v>
      </c>
      <c r="N37" s="13">
        <v>120759.296065031</v>
      </c>
      <c r="O37" s="13">
        <v>2.95565210207553</v>
      </c>
      <c r="P37" s="12">
        <f>$L$101-1*(N37-108032)</f>
        <v>23270.747643125585</v>
      </c>
      <c r="Q37" s="24">
        <f t="shared" si="4"/>
        <v>64.645155394467807</v>
      </c>
      <c r="R37" s="10">
        <v>156764.675784127</v>
      </c>
      <c r="S37" s="11">
        <v>3.1622561059816099</v>
      </c>
      <c r="T37" s="14">
        <f>$P$101+1*(R37-144037.75)</f>
        <v>12725.592677927598</v>
      </c>
      <c r="U37" s="22">
        <f t="shared" si="5"/>
        <v>35.351153189510974</v>
      </c>
      <c r="V37" s="13">
        <v>192768.06709222699</v>
      </c>
      <c r="W37" s="13">
        <v>2.95623779296875</v>
      </c>
      <c r="X37" s="12">
        <f>$T$101-1*(V37-180041)</f>
        <v>23270.606335024604</v>
      </c>
      <c r="Y37" s="24">
        <f t="shared" si="6"/>
        <v>64.64501660920736</v>
      </c>
      <c r="Z37" s="10">
        <v>228773.465818322</v>
      </c>
      <c r="AA37" s="11">
        <v>3.1649533666746401</v>
      </c>
      <c r="AB37" s="14">
        <f>$X$101+1*(Z37-216046.5)</f>
        <v>12725.491404022607</v>
      </c>
      <c r="AC37" s="22">
        <f t="shared" si="7"/>
        <v>35.350971309434684</v>
      </c>
      <c r="AD37" s="13">
        <v>264776.89312742202</v>
      </c>
      <c r="AE37" s="13">
        <v>2.9571533203125</v>
      </c>
      <c r="AF37" s="12">
        <f>$AB$101-1*(AD37-252049.97)</f>
        <v>23270.649025924584</v>
      </c>
      <c r="AG37" s="24">
        <f t="shared" si="8"/>
        <v>64.645058538041241</v>
      </c>
      <c r="AH37" s="10">
        <v>300782.478856517</v>
      </c>
      <c r="AI37" s="11">
        <v>3.1649533666746499</v>
      </c>
      <c r="AJ37" s="14">
        <f>$AF$101+1*(AH37-288055.5)</f>
        <v>12725.547133117587</v>
      </c>
      <c r="AK37" s="22">
        <f t="shared" si="9"/>
        <v>0.97383180513066148</v>
      </c>
      <c r="AL37" s="13">
        <v>336785.938165617</v>
      </c>
      <c r="AM37" s="13">
        <v>2.95623779296875</v>
      </c>
      <c r="AN37" s="14">
        <f>$AJ$101-1*(AL37-324059)</f>
        <v>23270.689716824585</v>
      </c>
      <c r="AO37" s="24"/>
    </row>
    <row r="38" spans="1:41" x14ac:dyDescent="0.25">
      <c r="A38" s="9">
        <v>36</v>
      </c>
      <c r="B38" s="10">
        <v>13110.811888443801</v>
      </c>
      <c r="C38" s="11">
        <v>3.1596513227982999</v>
      </c>
      <c r="D38" s="14">
        <f t="shared" si="0"/>
        <v>13090.5454884438</v>
      </c>
      <c r="E38" s="22">
        <f t="shared" si="1"/>
        <v>36.363636481983441</v>
      </c>
      <c r="F38" s="13">
        <v>49114.507287543202</v>
      </c>
      <c r="G38" s="13">
        <v>2.9522705078125</v>
      </c>
      <c r="H38" s="20">
        <f>$D$101-1*(F38-36023)</f>
        <v>22907.492688516897</v>
      </c>
      <c r="I38" s="24">
        <f t="shared" si="2"/>
        <v>63.635392069174422</v>
      </c>
      <c r="J38" s="11">
        <v>85119.541019639495</v>
      </c>
      <c r="K38" s="11">
        <v>3.1584028764204</v>
      </c>
      <c r="L38" s="14">
        <f>$H$101+1*(J38-72028.99)</f>
        <v>13089.589220540081</v>
      </c>
      <c r="M38" s="22">
        <f t="shared" si="3"/>
        <v>36.361946017567028</v>
      </c>
      <c r="N38" s="13">
        <v>121122.922326739</v>
      </c>
      <c r="O38" s="13">
        <v>2.95501708984375</v>
      </c>
      <c r="P38" s="12">
        <f>$L$101-1*(N38-108032)</f>
        <v>22907.121381417579</v>
      </c>
      <c r="Q38" s="24">
        <f t="shared" si="4"/>
        <v>63.63501697716741</v>
      </c>
      <c r="R38" s="10">
        <v>157128.30204583501</v>
      </c>
      <c r="S38" s="11">
        <v>3.1625643643466401</v>
      </c>
      <c r="T38" s="14">
        <f>$P$101+1*(R38-144037.75)</f>
        <v>13089.218939635604</v>
      </c>
      <c r="U38" s="22">
        <f t="shared" si="5"/>
        <v>36.36129142092436</v>
      </c>
      <c r="V38" s="13">
        <v>193131.693353935</v>
      </c>
      <c r="W38" s="13">
        <v>2.95562744140625</v>
      </c>
      <c r="X38" s="12">
        <f>$T$101-1*(V38-180041)</f>
        <v>22906.980073316598</v>
      </c>
      <c r="Y38" s="24">
        <f t="shared" si="6"/>
        <v>63.634874226613825</v>
      </c>
      <c r="Z38" s="10">
        <v>229137.09208003001</v>
      </c>
      <c r="AA38" s="11">
        <v>3.16497802734375</v>
      </c>
      <c r="AB38" s="14">
        <f>$X$101+1*(Z38-216046.5)</f>
        <v>13089.117665730613</v>
      </c>
      <c r="AC38" s="22">
        <f t="shared" si="7"/>
        <v>36.361112382724258</v>
      </c>
      <c r="AD38" s="13">
        <v>265140.51938913</v>
      </c>
      <c r="AE38" s="13">
        <v>2.95654296875</v>
      </c>
      <c r="AF38" s="12">
        <f>$AB$101-1*(AD38-252049.97)</f>
        <v>22907.022764216606</v>
      </c>
      <c r="AG38" s="24">
        <f t="shared" si="8"/>
        <v>63.634917353414458</v>
      </c>
      <c r="AH38" s="10">
        <v>301146.10511822498</v>
      </c>
      <c r="AI38" s="11">
        <v>3.1646728515625</v>
      </c>
      <c r="AJ38" s="14">
        <f>$AF$101+1*(AH38-288055.5)</f>
        <v>13089.173394825564</v>
      </c>
      <c r="AK38" s="22">
        <f t="shared" si="9"/>
        <v>0.97374549278846156</v>
      </c>
      <c r="AL38" s="13">
        <v>337149.56442732498</v>
      </c>
      <c r="AM38" s="13">
        <v>2.95562744140625</v>
      </c>
      <c r="AN38" s="14">
        <f>$AJ$101-1*(AL38-324059)</f>
        <v>22907.063455116608</v>
      </c>
      <c r="AO38" s="24"/>
    </row>
    <row r="39" spans="1:41" x14ac:dyDescent="0.25">
      <c r="A39" s="9">
        <v>37</v>
      </c>
      <c r="B39" s="10">
        <v>13474.438150152</v>
      </c>
      <c r="C39" s="11">
        <v>3.1606007585621598</v>
      </c>
      <c r="D39" s="14">
        <f t="shared" si="0"/>
        <v>13454.171750152</v>
      </c>
      <c r="E39" s="22">
        <f t="shared" si="1"/>
        <v>37.37373749020594</v>
      </c>
      <c r="F39" s="13">
        <v>49478.133549251397</v>
      </c>
      <c r="G39" s="13">
        <v>2.95135498046875</v>
      </c>
      <c r="H39" s="20">
        <f>$D$101-1*(F39-36023)</f>
        <v>22543.866426808701</v>
      </c>
      <c r="I39" s="24">
        <f t="shared" si="2"/>
        <v>62.625264071095934</v>
      </c>
      <c r="J39" s="11">
        <v>85483.167281347705</v>
      </c>
      <c r="K39" s="11">
        <v>3.1583689680004201</v>
      </c>
      <c r="L39" s="14">
        <f>$H$101+1*(J39-72028.99)</f>
        <v>13453.215482248292</v>
      </c>
      <c r="M39" s="22">
        <f t="shared" si="3"/>
        <v>37.372073858558061</v>
      </c>
      <c r="N39" s="13">
        <v>121486.548588447</v>
      </c>
      <c r="O39" s="13">
        <v>2.9541015625</v>
      </c>
      <c r="P39" s="12">
        <f>$L$101-1*(N39-108032)</f>
        <v>22543.495119709587</v>
      </c>
      <c r="Q39" s="24">
        <f t="shared" si="4"/>
        <v>62.624878559867071</v>
      </c>
      <c r="R39" s="10">
        <v>157491.92830754301</v>
      </c>
      <c r="S39" s="11">
        <v>3.1632949366715</v>
      </c>
      <c r="T39" s="14">
        <f>$P$101+1*(R39-144037.75)</f>
        <v>13452.845201343611</v>
      </c>
      <c r="U39" s="22">
        <f t="shared" si="5"/>
        <v>37.371429652337753</v>
      </c>
      <c r="V39" s="13">
        <v>193495.31961564301</v>
      </c>
      <c r="W39" s="13">
        <v>2.9547119140625</v>
      </c>
      <c r="X39" s="12">
        <f>$T$101-1*(V39-180041)</f>
        <v>22543.353811608591</v>
      </c>
      <c r="Y39" s="24">
        <f t="shared" si="6"/>
        <v>62.624731844020289</v>
      </c>
      <c r="Z39" s="10">
        <v>229500.71834173799</v>
      </c>
      <c r="AA39" s="11">
        <v>3.16442007970325</v>
      </c>
      <c r="AB39" s="14">
        <f>$X$101+1*(Z39-216046.5)</f>
        <v>13452.743927438591</v>
      </c>
      <c r="AC39" s="22">
        <f t="shared" si="7"/>
        <v>37.371253456013761</v>
      </c>
      <c r="AD39" s="13">
        <v>265504.14565083798</v>
      </c>
      <c r="AE39" s="13">
        <v>2.9559326171875</v>
      </c>
      <c r="AF39" s="12">
        <f>$AB$101-1*(AD39-252049.97)</f>
        <v>22543.396502508629</v>
      </c>
      <c r="AG39" s="24">
        <f t="shared" si="8"/>
        <v>62.62477616878769</v>
      </c>
      <c r="AH39" s="10">
        <v>301509.73137993301</v>
      </c>
      <c r="AI39" s="11">
        <v>3.16523079920275</v>
      </c>
      <c r="AJ39" s="14">
        <f>$AF$101+1*(AH39-288055.5)</f>
        <v>13452.7996565336</v>
      </c>
      <c r="AK39" s="22">
        <f t="shared" si="9"/>
        <v>0.97391716898546155</v>
      </c>
      <c r="AL39" s="13">
        <v>337513.19068903301</v>
      </c>
      <c r="AM39" s="13">
        <v>2.9549646859215</v>
      </c>
      <c r="AN39" s="14">
        <f>$AJ$101-1*(AL39-324059)</f>
        <v>22543.437193408572</v>
      </c>
      <c r="AO39" s="24"/>
    </row>
    <row r="40" spans="1:41" x14ac:dyDescent="0.25">
      <c r="A40" s="9">
        <v>38</v>
      </c>
      <c r="B40" s="10">
        <v>13838.064411860199</v>
      </c>
      <c r="C40" s="11">
        <v>3.16070556640625</v>
      </c>
      <c r="D40" s="14">
        <f t="shared" si="0"/>
        <v>13817.798011860199</v>
      </c>
      <c r="E40" s="22">
        <f t="shared" si="1"/>
        <v>38.383838498428432</v>
      </c>
      <c r="F40" s="13">
        <v>49841.7598109596</v>
      </c>
      <c r="G40" s="13">
        <v>2.95074462890625</v>
      </c>
      <c r="H40" s="20">
        <f>$D$101-1*(F40-36023)</f>
        <v>22180.240165100498</v>
      </c>
      <c r="I40" s="24">
        <f t="shared" si="2"/>
        <v>61.615136073017418</v>
      </c>
      <c r="J40" s="11">
        <v>85846.793543055901</v>
      </c>
      <c r="K40" s="11">
        <v>3.1585693359375</v>
      </c>
      <c r="L40" s="14">
        <f>$H$101+1*(J40-72028.99)</f>
        <v>13816.841743956487</v>
      </c>
      <c r="M40" s="22">
        <f t="shared" si="3"/>
        <v>38.38220169954905</v>
      </c>
      <c r="N40" s="13">
        <v>121850.17485015601</v>
      </c>
      <c r="O40" s="13">
        <v>2.9534912109375</v>
      </c>
      <c r="P40" s="12">
        <f>$L$101-1*(N40-108032)</f>
        <v>22179.868858000576</v>
      </c>
      <c r="Q40" s="24">
        <f t="shared" si="4"/>
        <v>61.614740142563903</v>
      </c>
      <c r="R40" s="10">
        <v>157855.55456925099</v>
      </c>
      <c r="S40" s="11">
        <v>3.1630236693102298</v>
      </c>
      <c r="T40" s="14">
        <f>$P$101+1*(R40-144037.75)</f>
        <v>13816.471463051588</v>
      </c>
      <c r="U40" s="22">
        <f t="shared" si="5"/>
        <v>38.38156788375106</v>
      </c>
      <c r="V40" s="13">
        <v>193858.94587735101</v>
      </c>
      <c r="W40" s="13">
        <v>2.9541015625</v>
      </c>
      <c r="X40" s="12">
        <f>$T$101-1*(V40-180041)</f>
        <v>22179.727549900585</v>
      </c>
      <c r="Y40" s="24">
        <f t="shared" si="6"/>
        <v>61.614589461426746</v>
      </c>
      <c r="Z40" s="10">
        <v>229864.34460344599</v>
      </c>
      <c r="AA40" s="11">
        <v>3.1646111998894901</v>
      </c>
      <c r="AB40" s="14">
        <f>$X$101+1*(Z40-216046.5)</f>
        <v>13816.370189146597</v>
      </c>
      <c r="AC40" s="22">
        <f t="shared" si="7"/>
        <v>38.381394529303343</v>
      </c>
      <c r="AD40" s="13">
        <v>265867.77191254601</v>
      </c>
      <c r="AE40" s="13">
        <v>2.95501708984375</v>
      </c>
      <c r="AF40" s="12">
        <f>$AB$101-1*(AD40-252049.97)</f>
        <v>22179.770240800593</v>
      </c>
      <c r="AG40" s="24">
        <f t="shared" si="8"/>
        <v>61.614634984160752</v>
      </c>
      <c r="AH40" s="10">
        <v>301873.35764164099</v>
      </c>
      <c r="AI40" s="11">
        <v>3.16485780658153</v>
      </c>
      <c r="AJ40" s="14">
        <f>$AF$101+1*(AH40-288055.5)</f>
        <v>13816.425918241577</v>
      </c>
      <c r="AK40" s="22">
        <f t="shared" si="9"/>
        <v>0.97380240202508617</v>
      </c>
      <c r="AL40" s="13">
        <v>337876.81695074099</v>
      </c>
      <c r="AM40" s="13">
        <v>2.9541015625</v>
      </c>
      <c r="AN40" s="14">
        <f>$AJ$101-1*(AL40-324059)</f>
        <v>22179.810931700595</v>
      </c>
      <c r="AO40" s="24"/>
    </row>
    <row r="41" spans="1:41" x14ac:dyDescent="0.25">
      <c r="A41" s="9">
        <v>39</v>
      </c>
      <c r="B41" s="10">
        <v>14201.690673568401</v>
      </c>
      <c r="C41" s="11">
        <v>3.16075180516096</v>
      </c>
      <c r="D41" s="14">
        <f t="shared" si="0"/>
        <v>14181.4242735684</v>
      </c>
      <c r="E41" s="22">
        <f t="shared" si="1"/>
        <v>39.393939506650938</v>
      </c>
      <c r="F41" s="13">
        <v>50205.386072667803</v>
      </c>
      <c r="G41" s="13">
        <v>2.95013427734375</v>
      </c>
      <c r="H41" s="20">
        <f>$D$101-1*(F41-36023)</f>
        <v>21816.613903392295</v>
      </c>
      <c r="I41" s="24">
        <f t="shared" si="2"/>
        <v>60.605008074938901</v>
      </c>
      <c r="J41" s="11">
        <v>86210.419804764097</v>
      </c>
      <c r="K41" s="11">
        <v>3.1589207504733698</v>
      </c>
      <c r="L41" s="14">
        <f>$H$101+1*(J41-72028.99)</f>
        <v>14180.468005664683</v>
      </c>
      <c r="M41" s="22">
        <f t="shared" si="3"/>
        <v>39.392329540540047</v>
      </c>
      <c r="N41" s="13">
        <v>122213.801111864</v>
      </c>
      <c r="O41" s="13">
        <v>2.95257568359375</v>
      </c>
      <c r="P41" s="12">
        <f>$L$101-1*(N41-108032)</f>
        <v>21816.242596292584</v>
      </c>
      <c r="Q41" s="24">
        <f t="shared" si="4"/>
        <v>60.604601725263564</v>
      </c>
      <c r="R41" s="10">
        <v>158219.18083095999</v>
      </c>
      <c r="S41" s="11">
        <v>3.1636278557054598</v>
      </c>
      <c r="T41" s="14">
        <f>$P$101+1*(R41-144037.75)</f>
        <v>14180.097724760584</v>
      </c>
      <c r="U41" s="22">
        <f t="shared" si="5"/>
        <v>39.391706115167196</v>
      </c>
      <c r="V41" s="13">
        <v>194222.57213905899</v>
      </c>
      <c r="W41" s="13">
        <v>2.95318603515625</v>
      </c>
      <c r="X41" s="12">
        <f>$T$101-1*(V41-180041)</f>
        <v>21816.101288192607</v>
      </c>
      <c r="Y41" s="24">
        <f t="shared" si="6"/>
        <v>60.604447078833289</v>
      </c>
      <c r="Z41" s="10">
        <v>230227.97086515499</v>
      </c>
      <c r="AA41" s="11">
        <v>3.16462661280783</v>
      </c>
      <c r="AB41" s="14">
        <f>$X$101+1*(Z41-216046.5)</f>
        <v>14179.996450855593</v>
      </c>
      <c r="AC41" s="22">
        <f t="shared" si="7"/>
        <v>39.391535602595674</v>
      </c>
      <c r="AD41" s="13">
        <v>266231.39817425399</v>
      </c>
      <c r="AE41" s="13">
        <v>2.9541015625</v>
      </c>
      <c r="AF41" s="12">
        <f>$AB$101-1*(AD41-252049.97)</f>
        <v>21816.143979092616</v>
      </c>
      <c r="AG41" s="24">
        <f t="shared" si="8"/>
        <v>60.604493799533977</v>
      </c>
      <c r="AH41" s="10">
        <v>302236.98390335002</v>
      </c>
      <c r="AI41" s="11">
        <v>3.1654126716384101</v>
      </c>
      <c r="AJ41" s="14">
        <f>$AF$101+1*(AH41-288055.5)</f>
        <v>14180.052179950602</v>
      </c>
      <c r="AK41" s="22">
        <f t="shared" si="9"/>
        <v>0.97397312973489547</v>
      </c>
      <c r="AL41" s="13">
        <v>338240.44321245002</v>
      </c>
      <c r="AM41" s="13">
        <v>2.9534912109375</v>
      </c>
      <c r="AN41" s="14">
        <f>$AJ$101-1*(AL41-324059)</f>
        <v>21816.18466999157</v>
      </c>
      <c r="AO41" s="24"/>
    </row>
    <row r="42" spans="1:41" x14ac:dyDescent="0.25">
      <c r="A42" s="9">
        <v>40</v>
      </c>
      <c r="B42" s="10">
        <v>14565.3169352766</v>
      </c>
      <c r="C42" s="11">
        <v>3.1613313308870099</v>
      </c>
      <c r="D42" s="14">
        <f t="shared" si="0"/>
        <v>14545.050535276599</v>
      </c>
      <c r="E42" s="22">
        <f t="shared" si="1"/>
        <v>40.404040514873437</v>
      </c>
      <c r="F42" s="13">
        <v>50569.012334375999</v>
      </c>
      <c r="G42" s="13">
        <v>2.94952392578125</v>
      </c>
      <c r="H42" s="20">
        <f>$D$101-1*(F42-36023)</f>
        <v>21452.9876416841</v>
      </c>
      <c r="I42" s="24">
        <f t="shared" si="2"/>
        <v>59.594880076860413</v>
      </c>
      <c r="J42" s="11">
        <v>86574.046066472307</v>
      </c>
      <c r="K42" s="11">
        <v>3.1600489760888402</v>
      </c>
      <c r="L42" s="14">
        <f>$H$101+1*(J42-72028.99)</f>
        <v>14544.094267372893</v>
      </c>
      <c r="M42" s="22">
        <f t="shared" si="3"/>
        <v>40.402457381531079</v>
      </c>
      <c r="N42" s="13">
        <v>122577.42737357201</v>
      </c>
      <c r="O42" s="13">
        <v>2.95196533203125</v>
      </c>
      <c r="P42" s="12">
        <f>$L$101-1*(N42-108032)</f>
        <v>21452.616334584578</v>
      </c>
      <c r="Q42" s="24">
        <f t="shared" si="4"/>
        <v>59.594463307963174</v>
      </c>
      <c r="R42" s="10">
        <v>158582.80709266799</v>
      </c>
      <c r="S42" s="11">
        <v>3.1640316741633501</v>
      </c>
      <c r="T42" s="14">
        <f>$P$101+1*(R42-144037.75)</f>
        <v>14543.723986468591</v>
      </c>
      <c r="U42" s="22">
        <f t="shared" si="5"/>
        <v>40.401844346580582</v>
      </c>
      <c r="V42" s="13">
        <v>194586.19840076799</v>
      </c>
      <c r="W42" s="13">
        <v>2.9522705078125</v>
      </c>
      <c r="X42" s="12">
        <f>$T$101-1*(V42-180041)</f>
        <v>21452.475026483611</v>
      </c>
      <c r="Y42" s="24">
        <f t="shared" si="6"/>
        <v>59.594304696236996</v>
      </c>
      <c r="Z42" s="10">
        <v>230591.59712686299</v>
      </c>
      <c r="AA42" s="11">
        <v>3.1646882644808199</v>
      </c>
      <c r="AB42" s="14">
        <f>$X$101+1*(Z42-216046.5)</f>
        <v>14543.6227125636</v>
      </c>
      <c r="AC42" s="22">
        <f t="shared" si="7"/>
        <v>40.401676675885248</v>
      </c>
      <c r="AD42" s="13">
        <v>266595.02443596302</v>
      </c>
      <c r="AE42" s="13">
        <v>2.9534912109375</v>
      </c>
      <c r="AF42" s="12">
        <f>$AB$101-1*(AD42-252049.97)</f>
        <v>21452.517717383591</v>
      </c>
      <c r="AG42" s="24">
        <f t="shared" si="8"/>
        <v>59.594352614904302</v>
      </c>
      <c r="AH42" s="10">
        <v>302600.61016505799</v>
      </c>
      <c r="AI42" s="11">
        <v>3.1647190903174902</v>
      </c>
      <c r="AJ42" s="14">
        <f>$AF$101+1*(AH42-288055.5)</f>
        <v>14543.67844165858</v>
      </c>
      <c r="AK42" s="22">
        <f t="shared" si="9"/>
        <v>0.9737597200976893</v>
      </c>
      <c r="AL42" s="13">
        <v>338604.06947415799</v>
      </c>
      <c r="AM42" s="13">
        <v>2.95257568359375</v>
      </c>
      <c r="AN42" s="14">
        <f>$AJ$101-1*(AL42-324059)</f>
        <v>21452.558408283592</v>
      </c>
      <c r="AO42" s="24"/>
    </row>
    <row r="43" spans="1:41" x14ac:dyDescent="0.25">
      <c r="A43" s="9">
        <v>41</v>
      </c>
      <c r="B43" s="10">
        <v>14928.943196984799</v>
      </c>
      <c r="C43" s="11">
        <v>3.1620249122080102</v>
      </c>
      <c r="D43" s="14">
        <f t="shared" si="0"/>
        <v>14908.676796984799</v>
      </c>
      <c r="E43" s="22">
        <f t="shared" si="1"/>
        <v>41.414141523095928</v>
      </c>
      <c r="F43" s="13">
        <v>50932.638596084202</v>
      </c>
      <c r="G43" s="13">
        <v>2.9486083984375</v>
      </c>
      <c r="H43" s="20">
        <f>$D$101-1*(F43-36023)</f>
        <v>21089.361379975897</v>
      </c>
      <c r="I43" s="24">
        <f t="shared" si="2"/>
        <v>58.584752078781897</v>
      </c>
      <c r="J43" s="11">
        <v>86937.672328180503</v>
      </c>
      <c r="K43" s="11">
        <v>3.1593769728534302</v>
      </c>
      <c r="L43" s="14">
        <f>$H$101+1*(J43-72028.99)</f>
        <v>14907.720529081089</v>
      </c>
      <c r="M43" s="22">
        <f t="shared" si="3"/>
        <v>41.412585222522068</v>
      </c>
      <c r="N43" s="13">
        <v>122941.05363528</v>
      </c>
      <c r="O43" s="13">
        <v>2.9510498046875</v>
      </c>
      <c r="P43" s="12">
        <f>$L$101-1*(N43-108032)</f>
        <v>21088.990072876586</v>
      </c>
      <c r="Q43" s="24">
        <f t="shared" si="4"/>
        <v>58.584324890662828</v>
      </c>
      <c r="R43" s="10">
        <v>158946.433354376</v>
      </c>
      <c r="S43" s="11">
        <v>3.16365868154202</v>
      </c>
      <c r="T43" s="14">
        <f>$P$101+1*(R43-144037.75)</f>
        <v>14907.350248176597</v>
      </c>
      <c r="U43" s="22">
        <f t="shared" si="5"/>
        <v>41.411982577993975</v>
      </c>
      <c r="V43" s="13">
        <v>194949.82466247599</v>
      </c>
      <c r="W43" s="13">
        <v>2.95166015625</v>
      </c>
      <c r="X43" s="12">
        <f>$T$101-1*(V43-180041)</f>
        <v>21088.848764775605</v>
      </c>
      <c r="Y43" s="24">
        <f t="shared" si="6"/>
        <v>58.584162313643461</v>
      </c>
      <c r="Z43" s="10">
        <v>230955.223388571</v>
      </c>
      <c r="AA43" s="11">
        <v>3.16568702158298</v>
      </c>
      <c r="AB43" s="14">
        <f>$X$101+1*(Z43-216046.5)</f>
        <v>14907.248974271606</v>
      </c>
      <c r="AC43" s="22">
        <f t="shared" si="7"/>
        <v>41.41181774917483</v>
      </c>
      <c r="AD43" s="13">
        <v>266958.65069767099</v>
      </c>
      <c r="AE43" s="13">
        <v>2.95257568359375</v>
      </c>
      <c r="AF43" s="12">
        <f>$AB$101-1*(AD43-252049.97)</f>
        <v>21088.891455675614</v>
      </c>
      <c r="AG43" s="24">
        <f t="shared" si="8"/>
        <v>58.58421143027752</v>
      </c>
      <c r="AH43" s="10">
        <v>302964.23642676597</v>
      </c>
      <c r="AI43" s="11">
        <v>3.1660014451152998</v>
      </c>
      <c r="AJ43" s="14">
        <f>$AF$101+1*(AH43-288055.5)</f>
        <v>14907.304703366557</v>
      </c>
      <c r="AK43" s="22">
        <f t="shared" si="9"/>
        <v>0.97415429080470761</v>
      </c>
      <c r="AL43" s="13">
        <v>338967.69573586597</v>
      </c>
      <c r="AM43" s="13">
        <v>2.95196533203125</v>
      </c>
      <c r="AN43" s="14">
        <f>$AJ$101-1*(AL43-324059)</f>
        <v>21088.932146575615</v>
      </c>
      <c r="AO43" s="24"/>
    </row>
    <row r="44" spans="1:41" x14ac:dyDescent="0.25">
      <c r="A44" s="9">
        <v>42</v>
      </c>
      <c r="B44" s="10">
        <v>15292.569458693</v>
      </c>
      <c r="C44" s="11">
        <v>3.1626290986032299</v>
      </c>
      <c r="D44" s="14">
        <f t="shared" si="0"/>
        <v>15272.303058693</v>
      </c>
      <c r="E44" s="22">
        <f t="shared" si="1"/>
        <v>42.424242531318427</v>
      </c>
      <c r="F44" s="13">
        <v>51296.264857792397</v>
      </c>
      <c r="G44" s="13">
        <v>2.947998046875</v>
      </c>
      <c r="H44" s="20">
        <f>$D$101-1*(F44-36023)</f>
        <v>20725.735118267701</v>
      </c>
      <c r="I44" s="24">
        <f t="shared" si="2"/>
        <v>57.574624080703408</v>
      </c>
      <c r="J44" s="11">
        <v>87301.298589888698</v>
      </c>
      <c r="K44" s="11">
        <v>3.1607980439157801</v>
      </c>
      <c r="L44" s="14">
        <f>$H$101+1*(J44-72028.99)</f>
        <v>15271.346790789285</v>
      </c>
      <c r="M44" s="22">
        <f t="shared" si="3"/>
        <v>42.422713063513065</v>
      </c>
      <c r="N44" s="13">
        <v>123304.679896988</v>
      </c>
      <c r="O44" s="13">
        <v>2.95013427734375</v>
      </c>
      <c r="P44" s="12">
        <f>$L$101-1*(N44-108032)</f>
        <v>20725.36381116858</v>
      </c>
      <c r="Q44" s="24">
        <f t="shared" si="4"/>
        <v>57.574186473362452</v>
      </c>
      <c r="R44" s="10">
        <v>159310.05961608401</v>
      </c>
      <c r="S44" s="11">
        <v>3.16412723425658</v>
      </c>
      <c r="T44" s="14">
        <f>$P$101+1*(R44-144037.75)</f>
        <v>15270.976509884604</v>
      </c>
      <c r="U44" s="22">
        <f t="shared" si="5"/>
        <v>42.42212080940736</v>
      </c>
      <c r="V44" s="13">
        <v>195313.450924184</v>
      </c>
      <c r="W44" s="13">
        <v>2.95074462890625</v>
      </c>
      <c r="X44" s="12">
        <f>$T$101-1*(V44-180041)</f>
        <v>20725.222503067598</v>
      </c>
      <c r="Y44" s="24">
        <f t="shared" si="6"/>
        <v>57.574019931049925</v>
      </c>
      <c r="Z44" s="10">
        <v>231318.84965027901</v>
      </c>
      <c r="AA44" s="11">
        <v>3.16537568063446</v>
      </c>
      <c r="AB44" s="14">
        <f>$X$101+1*(Z44-216046.5)</f>
        <v>15270.875235979613</v>
      </c>
      <c r="AC44" s="22">
        <f t="shared" si="7"/>
        <v>42.421958822464411</v>
      </c>
      <c r="AD44" s="13">
        <v>267322.27695937903</v>
      </c>
      <c r="AE44" s="13">
        <v>2.95196533203125</v>
      </c>
      <c r="AF44" s="12">
        <f>$AB$101-1*(AD44-252049.97)</f>
        <v>20725.265193967578</v>
      </c>
      <c r="AG44" s="24">
        <f t="shared" si="8"/>
        <v>57.574070245650589</v>
      </c>
      <c r="AH44" s="10">
        <v>303327.86268847401</v>
      </c>
      <c r="AI44" s="11">
        <v>3.16619873046875</v>
      </c>
      <c r="AJ44" s="14">
        <f>$AF$101+1*(AH44-288055.5)</f>
        <v>15270.930965074593</v>
      </c>
      <c r="AK44" s="22">
        <f t="shared" si="9"/>
        <v>0.97421499399038458</v>
      </c>
      <c r="AL44" s="13">
        <v>339331.32199757401</v>
      </c>
      <c r="AM44" s="13">
        <v>2.9510498046875</v>
      </c>
      <c r="AN44" s="14">
        <f>$AJ$101-1*(AL44-324059)</f>
        <v>20725.305884867579</v>
      </c>
      <c r="AO44" s="24"/>
    </row>
    <row r="45" spans="1:41" x14ac:dyDescent="0.25">
      <c r="A45" s="9">
        <v>43</v>
      </c>
      <c r="B45" s="10">
        <v>15656.1957204012</v>
      </c>
      <c r="C45" s="11">
        <v>3.1628633749605402</v>
      </c>
      <c r="D45" s="14">
        <f t="shared" si="0"/>
        <v>15635.929320401199</v>
      </c>
      <c r="E45" s="22">
        <f t="shared" si="1"/>
        <v>43.434343539540926</v>
      </c>
      <c r="F45" s="13">
        <v>51659.8911195006</v>
      </c>
      <c r="G45" s="13">
        <v>2.9473876953125</v>
      </c>
      <c r="H45" s="20">
        <f>$D$101-1*(F45-36023)</f>
        <v>20362.108856559498</v>
      </c>
      <c r="I45" s="24">
        <f t="shared" si="2"/>
        <v>56.564496082624906</v>
      </c>
      <c r="J45" s="11">
        <v>87664.924851596894</v>
      </c>
      <c r="K45" s="11">
        <v>3.1607271444917302</v>
      </c>
      <c r="L45" s="14">
        <f>$H$101+1*(J45-72028.99)</f>
        <v>15634.97305249748</v>
      </c>
      <c r="M45" s="22">
        <f t="shared" si="3"/>
        <v>43.432840904504054</v>
      </c>
      <c r="N45" s="13">
        <v>123668.306158697</v>
      </c>
      <c r="O45" s="13">
        <v>2.94952392578125</v>
      </c>
      <c r="P45" s="12">
        <f>$L$101-1*(N45-108032)</f>
        <v>20361.737549459584</v>
      </c>
      <c r="Q45" s="24">
        <f t="shared" si="4"/>
        <v>56.56404805605932</v>
      </c>
      <c r="R45" s="10">
        <v>159673.68587779201</v>
      </c>
      <c r="S45" s="11">
        <v>3.1644108319524502</v>
      </c>
      <c r="T45" s="14">
        <f>$P$101+1*(R45-144037.75)</f>
        <v>15634.60277159261</v>
      </c>
      <c r="U45" s="22">
        <f t="shared" si="5"/>
        <v>43.432259040820746</v>
      </c>
      <c r="V45" s="13">
        <v>195677.07718589201</v>
      </c>
      <c r="W45" s="13">
        <v>2.9498291015625</v>
      </c>
      <c r="X45" s="12">
        <f>$T$101-1*(V45-180041)</f>
        <v>20361.596241359592</v>
      </c>
      <c r="Y45" s="24">
        <f t="shared" si="6"/>
        <v>56.563877548456389</v>
      </c>
      <c r="Z45" s="10">
        <v>231682.47591198701</v>
      </c>
      <c r="AA45" s="11">
        <v>3.1658719766018999</v>
      </c>
      <c r="AB45" s="14">
        <f>$X$101+1*(Z45-216046.5)</f>
        <v>15634.501497687619</v>
      </c>
      <c r="AC45" s="22">
        <f t="shared" si="7"/>
        <v>43.432099895753993</v>
      </c>
      <c r="AD45" s="13">
        <v>267685.90322108701</v>
      </c>
      <c r="AE45" s="13">
        <v>2.9510498046875</v>
      </c>
      <c r="AF45" s="12">
        <f>$AB$101-1*(AD45-252049.97)</f>
        <v>20361.638932259601</v>
      </c>
      <c r="AG45" s="24">
        <f t="shared" si="8"/>
        <v>56.563929061023821</v>
      </c>
      <c r="AH45" s="10">
        <v>303691.48895018199</v>
      </c>
      <c r="AI45" s="11">
        <v>3.1664823281644199</v>
      </c>
      <c r="AJ45" s="14">
        <f>$AF$101+1*(AH45-288055.5)</f>
        <v>15634.55722678257</v>
      </c>
      <c r="AK45" s="22">
        <f t="shared" si="9"/>
        <v>0.97430225481982147</v>
      </c>
      <c r="AL45" s="13">
        <v>339694.94825928198</v>
      </c>
      <c r="AM45" s="13">
        <v>2.95013427734375</v>
      </c>
      <c r="AN45" s="14">
        <f>$AJ$101-1*(AL45-324059)</f>
        <v>20361.679623159602</v>
      </c>
      <c r="AO45" s="24"/>
    </row>
    <row r="46" spans="1:41" x14ac:dyDescent="0.25">
      <c r="A46" s="9">
        <v>44</v>
      </c>
      <c r="B46" s="10">
        <v>16019.821982109401</v>
      </c>
      <c r="C46" s="11">
        <v>3.16331651475695</v>
      </c>
      <c r="D46" s="14">
        <f t="shared" si="0"/>
        <v>15999.5555821094</v>
      </c>
      <c r="E46" s="22">
        <f t="shared" si="1"/>
        <v>44.444444547763432</v>
      </c>
      <c r="F46" s="13">
        <v>52023.517381208803</v>
      </c>
      <c r="G46" s="13">
        <v>2.94647216796875</v>
      </c>
      <c r="H46" s="20">
        <f>$D$101-1*(F46-36023)</f>
        <v>19998.482594851295</v>
      </c>
      <c r="I46" s="24">
        <f t="shared" si="2"/>
        <v>55.55436808454639</v>
      </c>
      <c r="J46" s="11">
        <v>88028.551113305104</v>
      </c>
      <c r="K46" s="11">
        <v>3.1612820095484602</v>
      </c>
      <c r="L46" s="14">
        <f>$H$101+1*(J46-72028.99)</f>
        <v>15998.59931420569</v>
      </c>
      <c r="M46" s="22">
        <f t="shared" si="3"/>
        <v>44.442968745495087</v>
      </c>
      <c r="N46" s="13">
        <v>124031.93242040501</v>
      </c>
      <c r="O46" s="13">
        <v>2.9486083984375</v>
      </c>
      <c r="P46" s="12">
        <f>$L$101-1*(N46-108032)</f>
        <v>19998.111287751577</v>
      </c>
      <c r="Q46" s="24">
        <f t="shared" si="4"/>
        <v>55.553909638758938</v>
      </c>
      <c r="R46" s="10">
        <v>160037.31213949999</v>
      </c>
      <c r="S46" s="11">
        <v>3.1645711263020702</v>
      </c>
      <c r="T46" s="14">
        <f>$P$101+1*(R46-144037.75)</f>
        <v>15998.229033300588</v>
      </c>
      <c r="U46" s="22">
        <f t="shared" si="5"/>
        <v>44.442397272234061</v>
      </c>
      <c r="V46" s="13">
        <v>196040.70344760001</v>
      </c>
      <c r="W46" s="13">
        <v>2.94891357421875</v>
      </c>
      <c r="X46" s="12">
        <f>$T$101-1*(V46-180041)</f>
        <v>19997.969979651585</v>
      </c>
      <c r="Y46" s="24">
        <f t="shared" si="6"/>
        <v>55.55373516586284</v>
      </c>
      <c r="Z46" s="10">
        <v>232046.10217369499</v>
      </c>
      <c r="AA46" s="11">
        <v>3.1660291883680598</v>
      </c>
      <c r="AB46" s="14">
        <f>$X$101+1*(Z46-216046.5)</f>
        <v>15998.127759395597</v>
      </c>
      <c r="AC46" s="22">
        <f t="shared" si="7"/>
        <v>44.442240969043489</v>
      </c>
      <c r="AD46" s="13">
        <v>268049.52948279498</v>
      </c>
      <c r="AE46" s="13">
        <v>2.95013427734375</v>
      </c>
      <c r="AF46" s="12">
        <f>$AB$101-1*(AD46-252049.97)</f>
        <v>19998.012670551623</v>
      </c>
      <c r="AG46" s="24">
        <f t="shared" si="8"/>
        <v>55.553787876397045</v>
      </c>
      <c r="AH46" s="10">
        <v>304055.11521189002</v>
      </c>
      <c r="AI46" s="11">
        <v>3.1663682725696098</v>
      </c>
      <c r="AJ46" s="14">
        <f>$AF$101+1*(AH46-288055.5)</f>
        <v>15998.183488490606</v>
      </c>
      <c r="AK46" s="22">
        <f t="shared" si="9"/>
        <v>0.97426716079064923</v>
      </c>
      <c r="AL46" s="13">
        <v>340058.57452099002</v>
      </c>
      <c r="AM46" s="13">
        <v>2.94921875</v>
      </c>
      <c r="AN46" s="14">
        <f>$AJ$101-1*(AL46-324059)</f>
        <v>19998.053361451566</v>
      </c>
      <c r="AO46" s="24"/>
    </row>
    <row r="47" spans="1:41" x14ac:dyDescent="0.25">
      <c r="A47" s="9">
        <v>45</v>
      </c>
      <c r="B47" s="10">
        <v>16383.4482438176</v>
      </c>
      <c r="C47" s="11">
        <v>3.1640625</v>
      </c>
      <c r="D47" s="14">
        <f t="shared" si="0"/>
        <v>16363.1818438176</v>
      </c>
      <c r="E47" s="22">
        <f t="shared" si="1"/>
        <v>45.454545555985923</v>
      </c>
      <c r="F47" s="13">
        <v>52387.143642916999</v>
      </c>
      <c r="G47" s="13">
        <v>2.94586181640625</v>
      </c>
      <c r="H47" s="20">
        <f>$D$101-1*(F47-36023)</f>
        <v>19634.8563331431</v>
      </c>
      <c r="I47" s="24">
        <f t="shared" si="2"/>
        <v>54.544240086467902</v>
      </c>
      <c r="J47" s="11">
        <v>88392.1773750133</v>
      </c>
      <c r="K47" s="11">
        <v>3.1613714044745</v>
      </c>
      <c r="L47" s="14">
        <f>$H$101+1*(J47-72028.99)</f>
        <v>16362.225575913886</v>
      </c>
      <c r="M47" s="22">
        <f t="shared" si="3"/>
        <v>45.453096586486076</v>
      </c>
      <c r="N47" s="13">
        <v>124395.558682113</v>
      </c>
      <c r="O47" s="13">
        <v>2.94769287109375</v>
      </c>
      <c r="P47" s="12">
        <f>$L$101-1*(N47-108032)</f>
        <v>19634.485026043585</v>
      </c>
      <c r="Q47" s="24">
        <f t="shared" si="4"/>
        <v>54.543771221458591</v>
      </c>
      <c r="R47" s="10">
        <v>160400.93840120899</v>
      </c>
      <c r="S47" s="11">
        <v>3.1652277166192602</v>
      </c>
      <c r="T47" s="14">
        <f>$P$101+1*(R47-144037.75)</f>
        <v>16361.855295009584</v>
      </c>
      <c r="U47" s="22">
        <f t="shared" si="5"/>
        <v>45.452535503650196</v>
      </c>
      <c r="V47" s="13">
        <v>196404.32970930901</v>
      </c>
      <c r="W47" s="13">
        <v>2.947998046875</v>
      </c>
      <c r="X47" s="12">
        <f>$T$101-1*(V47-180041)</f>
        <v>19634.343717942589</v>
      </c>
      <c r="Y47" s="24">
        <f t="shared" si="6"/>
        <v>54.543592783266561</v>
      </c>
      <c r="Z47" s="10">
        <v>232409.72843540399</v>
      </c>
      <c r="AA47" s="11">
        <v>3.16619873046875</v>
      </c>
      <c r="AB47" s="14">
        <f>$X$101+1*(Z47-216046.5)</f>
        <v>16361.754021104593</v>
      </c>
      <c r="AC47" s="22">
        <f t="shared" si="7"/>
        <v>45.45238204233582</v>
      </c>
      <c r="AD47" s="13">
        <v>268413.15574450401</v>
      </c>
      <c r="AE47" s="13">
        <v>2.94921875</v>
      </c>
      <c r="AF47" s="12">
        <f>$AB$101-1*(AD47-252049.97)</f>
        <v>19634.386408842598</v>
      </c>
      <c r="AG47" s="24">
        <f t="shared" si="8"/>
        <v>54.543646691767364</v>
      </c>
      <c r="AH47" s="10">
        <v>304418.74147359899</v>
      </c>
      <c r="AI47" s="11">
        <v>3.1665593927557998</v>
      </c>
      <c r="AJ47" s="14">
        <f>$AF$101+1*(AH47-288055.5)</f>
        <v>16361.809750199573</v>
      </c>
      <c r="AK47" s="22">
        <f t="shared" si="9"/>
        <v>0.97432596700178453</v>
      </c>
      <c r="AL47" s="13">
        <v>340422.20078269899</v>
      </c>
      <c r="AM47" s="13">
        <v>2.9486083984375</v>
      </c>
      <c r="AN47" s="14">
        <f>$AJ$101-1*(AL47-324059)</f>
        <v>19634.427099742599</v>
      </c>
      <c r="AO47" s="24"/>
    </row>
    <row r="48" spans="1:41" x14ac:dyDescent="0.25">
      <c r="A48" s="9">
        <v>46</v>
      </c>
      <c r="B48" s="10">
        <v>16747.074505525801</v>
      </c>
      <c r="C48" s="11">
        <v>3.1646728515625</v>
      </c>
      <c r="D48" s="14">
        <f t="shared" si="0"/>
        <v>16726.808105525801</v>
      </c>
      <c r="E48" s="22">
        <f t="shared" si="1"/>
        <v>46.464646564208429</v>
      </c>
      <c r="F48" s="13">
        <v>52750.769904625202</v>
      </c>
      <c r="G48" s="13">
        <v>2.94525146484375</v>
      </c>
      <c r="H48" s="20">
        <f>$D$101-1*(F48-36023)</f>
        <v>19271.230071434897</v>
      </c>
      <c r="I48" s="24">
        <f t="shared" si="2"/>
        <v>53.534112088389385</v>
      </c>
      <c r="J48" s="11">
        <v>88755.803636721495</v>
      </c>
      <c r="K48" s="11">
        <v>3.1624194829152099</v>
      </c>
      <c r="L48" s="14">
        <f>$H$101+1*(J48-72028.99)</f>
        <v>16725.851837622082</v>
      </c>
      <c r="M48" s="22">
        <f t="shared" si="3"/>
        <v>46.463224427477066</v>
      </c>
      <c r="N48" s="13">
        <v>124759.184943821</v>
      </c>
      <c r="O48" s="13">
        <v>2.94677734375</v>
      </c>
      <c r="P48" s="12">
        <f>$L$101-1*(N48-108032)</f>
        <v>19270.858764335579</v>
      </c>
      <c r="Q48" s="24">
        <f t="shared" si="4"/>
        <v>53.533632804158216</v>
      </c>
      <c r="R48" s="10">
        <v>160764.56466291699</v>
      </c>
      <c r="S48" s="11">
        <v>3.1652246340357202</v>
      </c>
      <c r="T48" s="14">
        <f>$P$101+1*(R48-144037.75)</f>
        <v>16725.48155671759</v>
      </c>
      <c r="U48" s="22">
        <f t="shared" si="5"/>
        <v>46.462673735063582</v>
      </c>
      <c r="V48" s="13">
        <v>196767.95597101701</v>
      </c>
      <c r="W48" s="13">
        <v>2.94708251953125</v>
      </c>
      <c r="X48" s="12">
        <f>$T$101-1*(V48-180041)</f>
        <v>19270.717456234583</v>
      </c>
      <c r="Y48" s="24">
        <f t="shared" si="6"/>
        <v>53.533450400673011</v>
      </c>
      <c r="Z48" s="10">
        <v>232773.35469711199</v>
      </c>
      <c r="AA48" s="11">
        <v>3.1667505129419702</v>
      </c>
      <c r="AB48" s="14">
        <f>$X$101+1*(Z48-216046.5)</f>
        <v>16725.380282812599</v>
      </c>
      <c r="AC48" s="22">
        <f t="shared" si="7"/>
        <v>46.462523115625402</v>
      </c>
      <c r="AD48" s="13">
        <v>268776.78200621199</v>
      </c>
      <c r="AE48" s="13">
        <v>2.94830322265625</v>
      </c>
      <c r="AF48" s="12">
        <f>$AB$101-1*(AD48-252049.97)</f>
        <v>19270.760147134621</v>
      </c>
      <c r="AG48" s="24">
        <f t="shared" si="8"/>
        <v>53.533505507140589</v>
      </c>
      <c r="AH48" s="10">
        <v>304782.36773530702</v>
      </c>
      <c r="AI48" s="11">
        <v>3.16680908203125</v>
      </c>
      <c r="AJ48" s="14">
        <f>$AF$101+1*(AH48-288055.5)</f>
        <v>16725.436011907608</v>
      </c>
      <c r="AK48" s="22">
        <f t="shared" si="9"/>
        <v>0.97440279447115385</v>
      </c>
      <c r="AL48" s="13">
        <v>340785.82704440702</v>
      </c>
      <c r="AM48" s="13">
        <v>2.94769287109375</v>
      </c>
      <c r="AN48" s="14">
        <f>$AJ$101-1*(AL48-324059)</f>
        <v>19270.800838034564</v>
      </c>
      <c r="AO48" s="24"/>
    </row>
    <row r="49" spans="1:41" x14ac:dyDescent="0.25">
      <c r="A49" s="9">
        <v>47</v>
      </c>
      <c r="B49" s="10">
        <v>17110.700767234001</v>
      </c>
      <c r="C49" s="11">
        <v>3.1648454762468399</v>
      </c>
      <c r="D49" s="14">
        <f t="shared" si="0"/>
        <v>17090.434367234</v>
      </c>
      <c r="E49" s="22">
        <f t="shared" si="1"/>
        <v>47.474747572430928</v>
      </c>
      <c r="F49" s="13">
        <v>53114.396166333398</v>
      </c>
      <c r="G49" s="13">
        <v>2.9443359375</v>
      </c>
      <c r="H49" s="20">
        <f>$D$101-1*(F49-36023)</f>
        <v>18907.603809726701</v>
      </c>
      <c r="I49" s="24">
        <f t="shared" si="2"/>
        <v>52.52398409031089</v>
      </c>
      <c r="J49" s="11">
        <v>89119.429898429706</v>
      </c>
      <c r="K49" s="11">
        <v>3.1628818704622899</v>
      </c>
      <c r="L49" s="14">
        <f>$H$101+1*(J49-72028.99)</f>
        <v>17089.478099330292</v>
      </c>
      <c r="M49" s="22">
        <f t="shared" si="3"/>
        <v>47.473352268468098</v>
      </c>
      <c r="N49" s="13">
        <v>125122.811205529</v>
      </c>
      <c r="O49" s="13">
        <v>2.94586181640625</v>
      </c>
      <c r="P49" s="12">
        <f>$L$101-1*(N49-108032)</f>
        <v>18907.232502627587</v>
      </c>
      <c r="Q49" s="24">
        <f t="shared" si="4"/>
        <v>52.52349438685787</v>
      </c>
      <c r="R49" s="10">
        <v>161128.190924625</v>
      </c>
      <c r="S49" s="11">
        <v>3.1654558278093399</v>
      </c>
      <c r="T49" s="14">
        <f>$P$101+1*(R49-144037.75)</f>
        <v>17089.107818425597</v>
      </c>
      <c r="U49" s="22">
        <f t="shared" si="5"/>
        <v>47.472811966476968</v>
      </c>
      <c r="V49" s="13">
        <v>197131.58223272499</v>
      </c>
      <c r="W49" s="13">
        <v>2.9461669921875</v>
      </c>
      <c r="X49" s="12">
        <f>$T$101-1*(V49-180041)</f>
        <v>18907.091194526605</v>
      </c>
      <c r="Y49" s="24">
        <f t="shared" si="6"/>
        <v>52.523308018079561</v>
      </c>
      <c r="Z49" s="10">
        <v>233136.98095882</v>
      </c>
      <c r="AA49" s="11">
        <v>3.16707418422506</v>
      </c>
      <c r="AB49" s="14">
        <f>$X$101+1*(Z49-216046.5)</f>
        <v>17089.006544520606</v>
      </c>
      <c r="AC49" s="22">
        <f t="shared" si="7"/>
        <v>47.472664188914983</v>
      </c>
      <c r="AD49" s="13">
        <v>269140.40826792002</v>
      </c>
      <c r="AE49" s="13">
        <v>2.9473876953125</v>
      </c>
      <c r="AF49" s="12">
        <f>$AB$101-1*(AD49-252049.97)</f>
        <v>18907.133885426585</v>
      </c>
      <c r="AG49" s="24">
        <f t="shared" si="8"/>
        <v>52.523364322513657</v>
      </c>
      <c r="AH49" s="10">
        <v>305145.993997015</v>
      </c>
      <c r="AI49" s="11">
        <v>3.1678571604718901</v>
      </c>
      <c r="AJ49" s="14">
        <f>$AF$101+1*(AH49-288055.5)</f>
        <v>17089.062273615586</v>
      </c>
      <c r="AK49" s="22">
        <f t="shared" si="9"/>
        <v>0.97472528014519699</v>
      </c>
      <c r="AL49" s="13">
        <v>341149.453306115</v>
      </c>
      <c r="AM49" s="13">
        <v>2.94677734375</v>
      </c>
      <c r="AN49" s="14">
        <f>$AJ$101-1*(AL49-324059)</f>
        <v>18907.174576326586</v>
      </c>
      <c r="AO49" s="24"/>
    </row>
    <row r="50" spans="1:41" x14ac:dyDescent="0.25">
      <c r="A50" s="9">
        <v>48</v>
      </c>
      <c r="B50" s="10">
        <v>17474.3270289422</v>
      </c>
      <c r="C50" s="11">
        <v>3.1650335138494499</v>
      </c>
      <c r="D50" s="14">
        <f t="shared" si="0"/>
        <v>17454.060628942199</v>
      </c>
      <c r="E50" s="22">
        <f t="shared" si="1"/>
        <v>48.48484858065342</v>
      </c>
      <c r="F50" s="13">
        <v>53478.022428041601</v>
      </c>
      <c r="G50" s="13">
        <v>2.9437255859375</v>
      </c>
      <c r="H50" s="20">
        <f>$D$101-1*(F50-36023)</f>
        <v>18543.977548018498</v>
      </c>
      <c r="I50" s="24">
        <f t="shared" si="2"/>
        <v>51.51385609223238</v>
      </c>
      <c r="J50" s="11">
        <v>89483.056160137901</v>
      </c>
      <c r="K50" s="11">
        <v>3.16289728338087</v>
      </c>
      <c r="L50" s="14">
        <f>$H$101+1*(J50-72028.99)</f>
        <v>17453.104361038488</v>
      </c>
      <c r="M50" s="22">
        <f t="shared" si="3"/>
        <v>48.483480109459094</v>
      </c>
      <c r="N50" s="13">
        <v>125486.43746723801</v>
      </c>
      <c r="O50" s="13">
        <v>2.9449462890625</v>
      </c>
      <c r="P50" s="12">
        <f>$L$101-1*(N50-108032)</f>
        <v>18543.606240918576</v>
      </c>
      <c r="Q50" s="24">
        <f t="shared" si="4"/>
        <v>51.513355969554695</v>
      </c>
      <c r="R50" s="10">
        <v>161491.81718633301</v>
      </c>
      <c r="S50" s="11">
        <v>3.1661617394651</v>
      </c>
      <c r="T50" s="14">
        <f>$P$101+1*(R50-144037.75)</f>
        <v>17452.734080133603</v>
      </c>
      <c r="U50" s="22">
        <f t="shared" si="5"/>
        <v>48.482950197890354</v>
      </c>
      <c r="V50" s="13">
        <v>197495.208494433</v>
      </c>
      <c r="W50" s="13">
        <v>2.94525146484375</v>
      </c>
      <c r="X50" s="12">
        <f>$T$101-1*(V50-180041)</f>
        <v>18543.464932818599</v>
      </c>
      <c r="Y50" s="24">
        <f t="shared" si="6"/>
        <v>51.513165635486011</v>
      </c>
      <c r="Z50" s="10">
        <v>233500.60722052801</v>
      </c>
      <c r="AA50" s="11">
        <v>3.16707726680885</v>
      </c>
      <c r="AB50" s="14">
        <f>$X$101+1*(Z50-216046.5)</f>
        <v>17452.632806228612</v>
      </c>
      <c r="AC50" s="22">
        <f t="shared" si="7"/>
        <v>48.482805262204558</v>
      </c>
      <c r="AD50" s="13">
        <v>269504.034529628</v>
      </c>
      <c r="AE50" s="13">
        <v>2.94647216796875</v>
      </c>
      <c r="AF50" s="12">
        <f>$AB$101-1*(AD50-252049.97)</f>
        <v>18543.507623718608</v>
      </c>
      <c r="AG50" s="24">
        <f t="shared" si="8"/>
        <v>51.513223137886889</v>
      </c>
      <c r="AH50" s="10">
        <v>305509.62025872298</v>
      </c>
      <c r="AI50" s="11">
        <v>3.167724609375</v>
      </c>
      <c r="AJ50" s="14">
        <f>$AF$101+1*(AH50-288055.5)</f>
        <v>17452.688535323563</v>
      </c>
      <c r="AK50" s="22">
        <f t="shared" si="9"/>
        <v>0.97468449519230771</v>
      </c>
      <c r="AL50" s="13">
        <v>341513.07956782298</v>
      </c>
      <c r="AM50" s="13">
        <v>2.94586181640625</v>
      </c>
      <c r="AN50" s="14">
        <f>$AJ$101-1*(AL50-324059)</f>
        <v>18543.548314618609</v>
      </c>
      <c r="AO50" s="24"/>
    </row>
    <row r="51" spans="1:41" x14ac:dyDescent="0.25">
      <c r="A51" s="9">
        <v>49</v>
      </c>
      <c r="B51" s="10">
        <v>17837.953290650399</v>
      </c>
      <c r="C51" s="11">
        <v>3.1658935546875</v>
      </c>
      <c r="D51" s="14">
        <f t="shared" si="0"/>
        <v>17817.686890650399</v>
      </c>
      <c r="E51" s="22">
        <f t="shared" si="1"/>
        <v>49.494949588875912</v>
      </c>
      <c r="F51" s="13">
        <v>53841.648689749803</v>
      </c>
      <c r="G51" s="13">
        <v>2.94281005859375</v>
      </c>
      <c r="H51" s="20">
        <f>$D$101-1*(F51-36023)</f>
        <v>18180.351286310295</v>
      </c>
      <c r="I51" s="24">
        <f t="shared" si="2"/>
        <v>50.503728094153864</v>
      </c>
      <c r="J51" s="11">
        <v>89846.682421846097</v>
      </c>
      <c r="K51" s="11">
        <v>3.1639669399069601</v>
      </c>
      <c r="L51" s="14">
        <f>$H$101+1*(J51-72028.99)</f>
        <v>17816.730622746683</v>
      </c>
      <c r="M51" s="22">
        <f t="shared" si="3"/>
        <v>49.493607950450084</v>
      </c>
      <c r="N51" s="13">
        <v>125850.063728946</v>
      </c>
      <c r="O51" s="13">
        <v>2.9441263218118401</v>
      </c>
      <c r="P51" s="12">
        <f>$L$101-1*(N51-108032)</f>
        <v>18179.979979210584</v>
      </c>
      <c r="Q51" s="24">
        <f t="shared" si="4"/>
        <v>50.503217552254355</v>
      </c>
      <c r="R51" s="10">
        <v>161855.44344804101</v>
      </c>
      <c r="S51" s="11">
        <v>3.1663127860636999</v>
      </c>
      <c r="T51" s="14">
        <f>$P$101+1*(R51-144037.75)</f>
        <v>17816.36034184161</v>
      </c>
      <c r="U51" s="22">
        <f t="shared" si="5"/>
        <v>49.493088429303747</v>
      </c>
      <c r="V51" s="13">
        <v>197858.834756141</v>
      </c>
      <c r="W51" s="13">
        <v>2.9443359375</v>
      </c>
      <c r="X51" s="12">
        <f>$T$101-1*(V51-180041)</f>
        <v>18179.838671110592</v>
      </c>
      <c r="Y51" s="24">
        <f t="shared" si="6"/>
        <v>50.503023252892476</v>
      </c>
      <c r="Z51" s="10">
        <v>233864.23348223601</v>
      </c>
      <c r="AA51" s="11">
        <v>3.16762904928185</v>
      </c>
      <c r="AB51" s="14">
        <f>$X$101+1*(Z51-216046.5)</f>
        <v>17816.259067936619</v>
      </c>
      <c r="AC51" s="22">
        <f t="shared" si="7"/>
        <v>49.492946335494139</v>
      </c>
      <c r="AD51" s="13">
        <v>269867.66079133598</v>
      </c>
      <c r="AE51" s="13">
        <v>2.945556640625</v>
      </c>
      <c r="AF51" s="12">
        <f>$AB$101-1*(AD51-252049.97)</f>
        <v>18179.88136201063</v>
      </c>
      <c r="AG51" s="24">
        <f t="shared" si="8"/>
        <v>50.503081953260107</v>
      </c>
      <c r="AH51" s="10">
        <v>305873.24652043101</v>
      </c>
      <c r="AI51" s="11">
        <v>3.1678201694679302</v>
      </c>
      <c r="AJ51" s="14">
        <f>$AF$101+1*(AH51-288055.5)</f>
        <v>17816.314797031599</v>
      </c>
      <c r="AK51" s="22">
        <f t="shared" si="9"/>
        <v>0.97471389829782473</v>
      </c>
      <c r="AL51" s="13">
        <v>341876.70582953101</v>
      </c>
      <c r="AM51" s="13">
        <v>2.9449462890625</v>
      </c>
      <c r="AN51" s="14">
        <f>$AJ$101-1*(AL51-324059)</f>
        <v>18179.922052910573</v>
      </c>
      <c r="AO51" s="24"/>
    </row>
    <row r="52" spans="1:41" x14ac:dyDescent="0.25">
      <c r="A52" s="9">
        <v>50</v>
      </c>
      <c r="B52" s="10">
        <v>18201.579552358598</v>
      </c>
      <c r="C52" s="11">
        <v>3.1671327533143798</v>
      </c>
      <c r="D52" s="14">
        <f t="shared" si="0"/>
        <v>18181.313152358598</v>
      </c>
      <c r="E52" s="22">
        <f t="shared" si="1"/>
        <v>50.50505059709841</v>
      </c>
      <c r="F52" s="13">
        <v>54205.274951457999</v>
      </c>
      <c r="G52" s="13">
        <v>2.94219970703125</v>
      </c>
      <c r="H52" s="20">
        <f>$D$101-1*(F52-36023)</f>
        <v>17816.725024602099</v>
      </c>
      <c r="I52" s="24">
        <f t="shared" si="2"/>
        <v>49.493600096075383</v>
      </c>
      <c r="J52" s="11">
        <v>90210.308683554307</v>
      </c>
      <c r="K52" s="11">
        <v>3.16436767578125</v>
      </c>
      <c r="L52" s="14">
        <f>$H$101+1*(J52-72028.99)</f>
        <v>18180.356884454894</v>
      </c>
      <c r="M52" s="22">
        <f t="shared" si="3"/>
        <v>50.503735791441116</v>
      </c>
      <c r="N52" s="13">
        <v>126213.68999065401</v>
      </c>
      <c r="O52" s="13">
        <v>2.9432107944680901</v>
      </c>
      <c r="P52" s="12">
        <f>$L$101-1*(N52-108032)</f>
        <v>17816.353717502578</v>
      </c>
      <c r="Q52" s="24">
        <f t="shared" si="4"/>
        <v>49.493079134953973</v>
      </c>
      <c r="R52" s="10">
        <v>162219.06970975001</v>
      </c>
      <c r="S52" s="11">
        <v>3.1670186977192598</v>
      </c>
      <c r="T52" s="14">
        <f>$P$101+1*(R52-144037.75)</f>
        <v>18179.986603550606</v>
      </c>
      <c r="U52" s="22">
        <f t="shared" si="5"/>
        <v>50.503226660719882</v>
      </c>
      <c r="V52" s="13">
        <v>198222.46101785</v>
      </c>
      <c r="W52" s="13">
        <v>2.94342041015625</v>
      </c>
      <c r="X52" s="12">
        <f>$T$101-1*(V52-180041)</f>
        <v>17816.212409401596</v>
      </c>
      <c r="Y52" s="24">
        <f t="shared" si="6"/>
        <v>49.49288087029619</v>
      </c>
      <c r="Z52" s="10">
        <v>234227.85974394501</v>
      </c>
      <c r="AA52" s="11">
        <v>3.1679342250631</v>
      </c>
      <c r="AB52" s="14">
        <f>$X$101+1*(Z52-216046.5)</f>
        <v>18179.885329645615</v>
      </c>
      <c r="AC52" s="22">
        <f t="shared" si="7"/>
        <v>50.50308740878647</v>
      </c>
      <c r="AD52" s="13">
        <v>270231.287053045</v>
      </c>
      <c r="AE52" s="13">
        <v>2.94464111328125</v>
      </c>
      <c r="AF52" s="12">
        <f>$AB$101-1*(AD52-252049.97)</f>
        <v>17816.255100301605</v>
      </c>
      <c r="AG52" s="24">
        <f t="shared" si="8"/>
        <v>49.492940768630433</v>
      </c>
      <c r="AH52" s="10">
        <v>306236.87278213998</v>
      </c>
      <c r="AI52" s="11">
        <v>3.16823940084427</v>
      </c>
      <c r="AJ52" s="14">
        <f>$AF$101+1*(AH52-288055.5)</f>
        <v>18179.941058740565</v>
      </c>
      <c r="AK52" s="22">
        <f t="shared" si="9"/>
        <v>0.9748428925674677</v>
      </c>
      <c r="AL52" s="13">
        <v>342240.33209123998</v>
      </c>
      <c r="AM52" s="13">
        <v>2.94403076171875</v>
      </c>
      <c r="AN52" s="14">
        <f>$AJ$101-1*(AL52-324059)</f>
        <v>17816.295791201606</v>
      </c>
      <c r="AO52" s="24"/>
    </row>
    <row r="53" spans="1:41" x14ac:dyDescent="0.25">
      <c r="A53" s="9">
        <v>51</v>
      </c>
      <c r="B53" s="10">
        <v>18565.205814066801</v>
      </c>
      <c r="C53" s="11">
        <v>3.16740093809186</v>
      </c>
      <c r="D53" s="14">
        <f t="shared" si="0"/>
        <v>18544.939414066801</v>
      </c>
      <c r="E53" s="22">
        <f t="shared" si="1"/>
        <v>51.515151605320916</v>
      </c>
      <c r="F53" s="13">
        <v>54568.9012131661</v>
      </c>
      <c r="G53" s="13">
        <v>2.94157085996686</v>
      </c>
      <c r="H53" s="20">
        <f>$D$101-1*(F53-36023)</f>
        <v>17453.098762893998</v>
      </c>
      <c r="I53" s="24">
        <f t="shared" si="2"/>
        <v>48.483472097997151</v>
      </c>
      <c r="J53" s="11">
        <v>90573.934945262401</v>
      </c>
      <c r="K53" s="11">
        <v>3.1643861712830499</v>
      </c>
      <c r="L53" s="14">
        <f>$H$101+1*(J53-72028.99)</f>
        <v>18543.983146162987</v>
      </c>
      <c r="M53" s="22">
        <f t="shared" si="3"/>
        <v>51.513863632431821</v>
      </c>
      <c r="N53" s="13">
        <v>126577.316252362</v>
      </c>
      <c r="O53" s="13">
        <v>2.94219970703125</v>
      </c>
      <c r="P53" s="12">
        <f>$L$101-1*(N53-108032)</f>
        <v>17452.727455794586</v>
      </c>
      <c r="Q53" s="24">
        <f t="shared" si="4"/>
        <v>48.482940717653626</v>
      </c>
      <c r="R53" s="10">
        <v>162582.69597145799</v>
      </c>
      <c r="S53" s="11">
        <v>3.1673824425900801</v>
      </c>
      <c r="T53" s="14">
        <f>$P$101+1*(R53-144037.75)</f>
        <v>18543.612865258583</v>
      </c>
      <c r="U53" s="22">
        <f t="shared" si="5"/>
        <v>51.513364892133197</v>
      </c>
      <c r="V53" s="13">
        <v>198586.08727955801</v>
      </c>
      <c r="W53" s="13">
        <v>2.9425048828125</v>
      </c>
      <c r="X53" s="12">
        <f>$T$101-1*(V53-180041)</f>
        <v>17452.58614769359</v>
      </c>
      <c r="Y53" s="24">
        <f t="shared" si="6"/>
        <v>48.482738487702655</v>
      </c>
      <c r="Z53" s="10">
        <v>234591.48600565299</v>
      </c>
      <c r="AA53" s="11">
        <v>3.16802978515625</v>
      </c>
      <c r="AB53" s="14">
        <f>$X$101+1*(Z53-216046.5)</f>
        <v>18543.511591353592</v>
      </c>
      <c r="AC53" s="22">
        <f t="shared" si="7"/>
        <v>51.513228482075966</v>
      </c>
      <c r="AD53" s="13">
        <v>270594.91331475298</v>
      </c>
      <c r="AE53" s="13">
        <v>2.9437255859375</v>
      </c>
      <c r="AF53" s="12">
        <f>$AB$101-1*(AD53-252049.97)</f>
        <v>17452.628838593628</v>
      </c>
      <c r="AG53" s="24">
        <f t="shared" si="8"/>
        <v>48.482799584003658</v>
      </c>
      <c r="AH53" s="10">
        <v>306600.49904384802</v>
      </c>
      <c r="AI53" s="11">
        <v>3.16888982599452</v>
      </c>
      <c r="AJ53" s="14">
        <f>$AF$101+1*(AH53-288055.5)</f>
        <v>18543.567320448601</v>
      </c>
      <c r="AK53" s="22">
        <f t="shared" si="9"/>
        <v>0.97504302338292925</v>
      </c>
      <c r="AL53" s="13">
        <v>342603.95835294802</v>
      </c>
      <c r="AM53" s="13">
        <v>2.94281005859375</v>
      </c>
      <c r="AN53" s="14">
        <f>$AJ$101-1*(AL53-324059)</f>
        <v>17452.669529493571</v>
      </c>
      <c r="AO53" s="24"/>
    </row>
    <row r="54" spans="1:41" x14ac:dyDescent="0.25">
      <c r="A54" s="9">
        <v>52</v>
      </c>
      <c r="B54" s="10">
        <v>18928.832075775001</v>
      </c>
      <c r="C54" s="11">
        <v>3.16768453578756</v>
      </c>
      <c r="D54" s="14">
        <f t="shared" si="0"/>
        <v>18908.565675775</v>
      </c>
      <c r="E54" s="22">
        <f t="shared" si="1"/>
        <v>52.525252613543415</v>
      </c>
      <c r="F54" s="13">
        <v>54932.527474874303</v>
      </c>
      <c r="G54" s="13">
        <v>2.940673828125</v>
      </c>
      <c r="H54" s="20">
        <f>$D$101-1*(F54-36023)</f>
        <v>17089.472501185795</v>
      </c>
      <c r="I54" s="24">
        <f t="shared" si="2"/>
        <v>47.473344099918634</v>
      </c>
      <c r="J54" s="11">
        <v>90937.561206970699</v>
      </c>
      <c r="K54" s="11">
        <v>3.1652431295374002</v>
      </c>
      <c r="L54" s="14">
        <f>$H$101+1*(J54-72028.99)</f>
        <v>18907.609407871285</v>
      </c>
      <c r="M54" s="22">
        <f t="shared" si="3"/>
        <v>52.523991473423102</v>
      </c>
      <c r="N54" s="13">
        <v>126940.94251407099</v>
      </c>
      <c r="O54" s="13">
        <v>2.9412841796875</v>
      </c>
      <c r="P54" s="12">
        <f>$L$101-1*(N54-108032)</f>
        <v>17089.10119408559</v>
      </c>
      <c r="Q54" s="24">
        <f t="shared" si="4"/>
        <v>47.472802300350494</v>
      </c>
      <c r="R54" s="10">
        <v>162946.32223316599</v>
      </c>
      <c r="S54" s="11">
        <v>3.1682024098405899</v>
      </c>
      <c r="T54" s="14">
        <f>$P$101+1*(R54-144037.75)</f>
        <v>18907.23912696659</v>
      </c>
      <c r="U54" s="22">
        <f t="shared" si="5"/>
        <v>52.523503123546575</v>
      </c>
      <c r="V54" s="13">
        <v>198949.71354126601</v>
      </c>
      <c r="W54" s="13">
        <v>2.94158935546875</v>
      </c>
      <c r="X54" s="12">
        <f>$T$101-1*(V54-180041)</f>
        <v>17088.959885985583</v>
      </c>
      <c r="Y54" s="24">
        <f t="shared" si="6"/>
        <v>47.472596105109112</v>
      </c>
      <c r="Z54" s="10">
        <v>234955.11226736099</v>
      </c>
      <c r="AA54" s="11">
        <v>3.1685075856218399</v>
      </c>
      <c r="AB54" s="14">
        <f>$X$101+1*(Z54-216046.5)</f>
        <v>18907.137853061598</v>
      </c>
      <c r="AC54" s="22">
        <f t="shared" si="7"/>
        <v>52.523369555365548</v>
      </c>
      <c r="AD54" s="13">
        <v>270958.53957646101</v>
      </c>
      <c r="AE54" s="13">
        <v>2.94281005859375</v>
      </c>
      <c r="AF54" s="12">
        <f>$AB$101-1*(AD54-252049.97)</f>
        <v>17089.002576885592</v>
      </c>
      <c r="AG54" s="24">
        <f t="shared" si="8"/>
        <v>47.472658399376726</v>
      </c>
      <c r="AH54" s="10">
        <v>306964.12530555599</v>
      </c>
      <c r="AI54" s="11">
        <v>3.1692905618687002</v>
      </c>
      <c r="AJ54" s="14">
        <f>$AF$101+1*(AH54-288055.5)</f>
        <v>18907.193582156578</v>
      </c>
      <c r="AK54" s="22">
        <f t="shared" si="9"/>
        <v>0.97516632672883086</v>
      </c>
      <c r="AL54" s="13">
        <v>342967.58461465599</v>
      </c>
      <c r="AM54" s="13">
        <v>2.94189453125</v>
      </c>
      <c r="AN54" s="14">
        <f>$AJ$101-1*(AL54-324059)</f>
        <v>17089.043267785593</v>
      </c>
      <c r="AO54" s="24"/>
    </row>
    <row r="55" spans="1:41" x14ac:dyDescent="0.25">
      <c r="A55" s="9">
        <v>53</v>
      </c>
      <c r="B55" s="10">
        <v>19292.4583374832</v>
      </c>
      <c r="C55" s="11">
        <v>3.1688281743213298</v>
      </c>
      <c r="D55" s="14">
        <f t="shared" si="0"/>
        <v>19272.1919374832</v>
      </c>
      <c r="E55" s="22">
        <f t="shared" si="1"/>
        <v>53.535353621765914</v>
      </c>
      <c r="F55" s="13">
        <v>55296.153736582499</v>
      </c>
      <c r="G55" s="13">
        <v>2.9400634765625</v>
      </c>
      <c r="H55" s="20">
        <f>$D$101-1*(F55-36023)</f>
        <v>16725.8462394776</v>
      </c>
      <c r="I55" s="24">
        <f t="shared" si="2"/>
        <v>46.463216101840146</v>
      </c>
      <c r="J55" s="11">
        <v>91301.187468678894</v>
      </c>
      <c r="K55" s="11">
        <v>3.1658349855980701</v>
      </c>
      <c r="L55" s="14">
        <f>$H$101+1*(J55-72028.99)</f>
        <v>19271.235669579481</v>
      </c>
      <c r="M55" s="22">
        <f t="shared" si="3"/>
        <v>53.534119314414099</v>
      </c>
      <c r="N55" s="13">
        <v>127304.568775779</v>
      </c>
      <c r="O55" s="13">
        <v>2.94036865234375</v>
      </c>
      <c r="P55" s="12">
        <f>$L$101-1*(N55-108032)</f>
        <v>16725.474932377583</v>
      </c>
      <c r="Q55" s="24">
        <f t="shared" si="4"/>
        <v>46.462663883050112</v>
      </c>
      <c r="R55" s="10">
        <v>163309.948494874</v>
      </c>
      <c r="S55" s="11">
        <v>3.1685815676294702</v>
      </c>
      <c r="T55" s="14">
        <f>$P$101+1*(R55-144037.75)</f>
        <v>19270.865388674596</v>
      </c>
      <c r="U55" s="22">
        <f t="shared" si="5"/>
        <v>53.533641354959968</v>
      </c>
      <c r="V55" s="13">
        <v>199313.33980297399</v>
      </c>
      <c r="W55" s="13">
        <v>2.94036865234375</v>
      </c>
      <c r="X55" s="12">
        <f>$T$101-1*(V55-180041)</f>
        <v>16725.333624277606</v>
      </c>
      <c r="Y55" s="24">
        <f t="shared" si="6"/>
        <v>46.462453722515647</v>
      </c>
      <c r="Z55" s="10">
        <v>235318.738529069</v>
      </c>
      <c r="AA55" s="11">
        <v>3.1688744130758799</v>
      </c>
      <c r="AB55" s="14">
        <f>$X$101+1*(Z55-216046.5)</f>
        <v>19270.764114769605</v>
      </c>
      <c r="AC55" s="22">
        <f t="shared" si="7"/>
        <v>53.533510628655137</v>
      </c>
      <c r="AD55" s="13">
        <v>271322.16583816899</v>
      </c>
      <c r="AE55" s="13">
        <v>2.94189453125</v>
      </c>
      <c r="AF55" s="12">
        <f>$AB$101-1*(AD55-252049.97)</f>
        <v>16725.376315177615</v>
      </c>
      <c r="AG55" s="24">
        <f t="shared" si="8"/>
        <v>46.462517214749951</v>
      </c>
      <c r="AH55" s="10">
        <v>307327.75156726397</v>
      </c>
      <c r="AI55" s="11">
        <v>3.1698022707542299</v>
      </c>
      <c r="AJ55" s="14">
        <f>$AF$101+1*(AH55-288055.5)</f>
        <v>19270.819843864556</v>
      </c>
      <c r="AK55" s="22">
        <f t="shared" si="9"/>
        <v>0.97532377561668615</v>
      </c>
      <c r="AL55" s="13">
        <v>343331.21087636403</v>
      </c>
      <c r="AM55" s="13">
        <v>2.94097900390625</v>
      </c>
      <c r="AN55" s="14">
        <f>$AJ$101-1*(AL55-324059)</f>
        <v>16725.417006077558</v>
      </c>
      <c r="AO55" s="24"/>
    </row>
    <row r="56" spans="1:41" x14ac:dyDescent="0.25">
      <c r="A56" s="9">
        <v>54</v>
      </c>
      <c r="B56" s="10">
        <v>19656.084599191301</v>
      </c>
      <c r="C56" s="11">
        <v>3.1691395152698898</v>
      </c>
      <c r="D56" s="14">
        <f t="shared" si="0"/>
        <v>19635.818199191301</v>
      </c>
      <c r="E56" s="22">
        <f t="shared" si="1"/>
        <v>54.545454629988136</v>
      </c>
      <c r="F56" s="13">
        <v>55659.779998290702</v>
      </c>
      <c r="G56" s="13">
        <v>2.93914794921875</v>
      </c>
      <c r="H56" s="20">
        <f>$D$101-1*(F56-36023)</f>
        <v>16362.219977769397</v>
      </c>
      <c r="I56" s="24">
        <f t="shared" si="2"/>
        <v>45.453088103761637</v>
      </c>
      <c r="J56" s="11">
        <v>91664.813730387104</v>
      </c>
      <c r="K56" s="11">
        <v>3.16680908203125</v>
      </c>
      <c r="L56" s="14">
        <f>$H$101+1*(J56-72028.99)</f>
        <v>19634.861931287691</v>
      </c>
      <c r="M56" s="22">
        <f t="shared" si="3"/>
        <v>54.544247155405124</v>
      </c>
      <c r="N56" s="13">
        <v>127668.19503748701</v>
      </c>
      <c r="O56" s="13">
        <v>2.939453125</v>
      </c>
      <c r="P56" s="12">
        <f>$L$101-1*(N56-108032)</f>
        <v>16361.848670669577</v>
      </c>
      <c r="Q56" s="24">
        <f t="shared" si="4"/>
        <v>45.45252546574973</v>
      </c>
      <c r="R56" s="10">
        <v>163673.57475658201</v>
      </c>
      <c r="S56" s="11">
        <v>3.1687511097297398</v>
      </c>
      <c r="T56" s="14">
        <f>$P$101+1*(R56-144037.75)</f>
        <v>19634.491650382603</v>
      </c>
      <c r="U56" s="22">
        <f t="shared" si="5"/>
        <v>54.543779586373354</v>
      </c>
      <c r="V56" s="13">
        <v>199676.966064682</v>
      </c>
      <c r="W56" s="13">
        <v>2.939453125</v>
      </c>
      <c r="X56" s="12">
        <f>$T$101-1*(V56-180041)</f>
        <v>16361.707362569599</v>
      </c>
      <c r="Y56" s="24">
        <f t="shared" si="6"/>
        <v>45.452311339922112</v>
      </c>
      <c r="Z56" s="10">
        <v>235682.36479077701</v>
      </c>
      <c r="AA56" s="11">
        <v>3.1695556640625</v>
      </c>
      <c r="AB56" s="14">
        <f>$X$101+1*(Z56-216046.5)</f>
        <v>19634.390376477611</v>
      </c>
      <c r="AC56" s="22">
        <f t="shared" si="7"/>
        <v>54.543651701944704</v>
      </c>
      <c r="AD56" s="13">
        <v>271685.79209987703</v>
      </c>
      <c r="AE56" s="13">
        <v>2.940673828125</v>
      </c>
      <c r="AF56" s="12">
        <f>$AB$101-1*(AD56-252049.97)</f>
        <v>16361.750053469579</v>
      </c>
      <c r="AG56" s="24">
        <f t="shared" si="8"/>
        <v>45.45237603012302</v>
      </c>
      <c r="AH56" s="10">
        <v>307691.37782897201</v>
      </c>
      <c r="AI56" s="11">
        <v>3.1706653941765102</v>
      </c>
      <c r="AJ56" s="14">
        <f>$AF$101+1*(AH56-288055.5)</f>
        <v>19634.446105572591</v>
      </c>
      <c r="AK56" s="22">
        <f t="shared" si="9"/>
        <v>0.97558935205431085</v>
      </c>
      <c r="AL56" s="13">
        <v>343694.83713807201</v>
      </c>
      <c r="AM56" s="13">
        <v>2.93975830078125</v>
      </c>
      <c r="AN56" s="14">
        <f>$AJ$101-1*(AL56-324059)</f>
        <v>16361.79074436958</v>
      </c>
      <c r="AO56" s="24"/>
    </row>
    <row r="57" spans="1:41" x14ac:dyDescent="0.25">
      <c r="A57" s="9">
        <v>55</v>
      </c>
      <c r="B57" s="10">
        <v>20019.7108608995</v>
      </c>
      <c r="C57" s="11">
        <v>3.1695556640625</v>
      </c>
      <c r="D57" s="14">
        <f t="shared" si="0"/>
        <v>19999.4444608995</v>
      </c>
      <c r="E57" s="22">
        <f t="shared" si="1"/>
        <v>55.555555638210627</v>
      </c>
      <c r="F57" s="13">
        <v>56023.406259998897</v>
      </c>
      <c r="G57" s="13">
        <v>2.938232421875</v>
      </c>
      <c r="H57" s="20">
        <f>$D$101-1*(F57-36023)</f>
        <v>15998.593716061201</v>
      </c>
      <c r="I57" s="24">
        <f t="shared" si="2"/>
        <v>44.442960105683142</v>
      </c>
      <c r="J57" s="11">
        <v>92028.439992095198</v>
      </c>
      <c r="K57" s="11">
        <v>3.1677585177949501</v>
      </c>
      <c r="L57" s="14">
        <f>$H$101+1*(J57-72028.99)</f>
        <v>19998.488192995785</v>
      </c>
      <c r="M57" s="22">
        <f t="shared" si="3"/>
        <v>55.554374996395836</v>
      </c>
      <c r="N57" s="13">
        <v>128031.821299195</v>
      </c>
      <c r="O57" s="13">
        <v>2.93853759765625</v>
      </c>
      <c r="P57" s="12">
        <f>$L$101-1*(N57-108032)</f>
        <v>15998.222408961585</v>
      </c>
      <c r="Q57" s="24">
        <f t="shared" si="4"/>
        <v>44.44238704844939</v>
      </c>
      <c r="R57" s="10">
        <v>164037.201018291</v>
      </c>
      <c r="S57" s="11">
        <v>3.1695556640625</v>
      </c>
      <c r="T57" s="14">
        <f>$P$101+1*(R57-144037.75)</f>
        <v>19998.117912091599</v>
      </c>
      <c r="U57" s="22">
        <f t="shared" si="5"/>
        <v>55.55391781778949</v>
      </c>
      <c r="V57" s="13">
        <v>200040.59232639099</v>
      </c>
      <c r="W57" s="13">
        <v>2.938232421875</v>
      </c>
      <c r="X57" s="12">
        <f>$T$101-1*(V57-180041)</f>
        <v>15998.081100860603</v>
      </c>
      <c r="Y57" s="24">
        <f t="shared" si="6"/>
        <v>44.442168957325826</v>
      </c>
      <c r="Z57" s="10">
        <v>236045.991052486</v>
      </c>
      <c r="AA57" s="11">
        <v>3.17064073350695</v>
      </c>
      <c r="AB57" s="14">
        <f>$X$101+1*(Z57-216046.5)</f>
        <v>19998.016638186607</v>
      </c>
      <c r="AC57" s="22">
        <f t="shared" si="7"/>
        <v>55.553792775237042</v>
      </c>
      <c r="AD57" s="13">
        <v>272049.41836158599</v>
      </c>
      <c r="AE57" s="13">
        <v>2.93975830078125</v>
      </c>
      <c r="AF57" s="12">
        <f>$AB$101-1*(AD57-252049.97)</f>
        <v>15998.123791760612</v>
      </c>
      <c r="AG57" s="24">
        <f t="shared" si="8"/>
        <v>44.442234845493502</v>
      </c>
      <c r="AH57" s="10">
        <v>308055.00409068097</v>
      </c>
      <c r="AI57" s="11">
        <v>3.1708441840272101</v>
      </c>
      <c r="AJ57" s="14">
        <f>$AF$101+1*(AH57-288055.5)</f>
        <v>19998.072367281558</v>
      </c>
      <c r="AK57" s="22">
        <f t="shared" si="9"/>
        <v>0.97564436431606461</v>
      </c>
      <c r="AL57" s="13">
        <v>344058.46339978097</v>
      </c>
      <c r="AM57" s="13">
        <v>2.9388427734375</v>
      </c>
      <c r="AN57" s="14">
        <f>$AJ$101-1*(AL57-324059)</f>
        <v>15998.164482660613</v>
      </c>
      <c r="AO57" s="24"/>
    </row>
    <row r="58" spans="1:41" x14ac:dyDescent="0.25">
      <c r="A58" s="9">
        <v>56</v>
      </c>
      <c r="B58" s="10">
        <v>20383.3371226077</v>
      </c>
      <c r="C58" s="11">
        <v>3.170166015625</v>
      </c>
      <c r="D58" s="14">
        <f t="shared" si="0"/>
        <v>20363.070722607699</v>
      </c>
      <c r="E58" s="22">
        <f t="shared" si="1"/>
        <v>56.565656646433126</v>
      </c>
      <c r="F58" s="13">
        <v>56387.0325217071</v>
      </c>
      <c r="G58" s="13">
        <v>2.9376220703125</v>
      </c>
      <c r="H58" s="20">
        <f>$D$101-1*(F58-36023)</f>
        <v>15634.967454352998</v>
      </c>
      <c r="I58" s="24">
        <f t="shared" si="2"/>
        <v>43.432832107604632</v>
      </c>
      <c r="J58" s="11">
        <v>92392.066253803394</v>
      </c>
      <c r="K58" s="11">
        <v>3.1677893436318998</v>
      </c>
      <c r="L58" s="14">
        <f>$H$101+1*(J58-72028.99)</f>
        <v>20362.11445470398</v>
      </c>
      <c r="M58" s="22">
        <f t="shared" si="3"/>
        <v>56.564502837386819</v>
      </c>
      <c r="N58" s="13">
        <v>128395.44756090301</v>
      </c>
      <c r="O58" s="13">
        <v>2.9376220703125</v>
      </c>
      <c r="P58" s="12">
        <f>$L$101-1*(N58-108032)</f>
        <v>15634.596147253578</v>
      </c>
      <c r="Q58" s="24">
        <f t="shared" si="4"/>
        <v>43.432248631149008</v>
      </c>
      <c r="R58" s="10">
        <v>164400.82727999901</v>
      </c>
      <c r="S58" s="11">
        <v>3.1704927694918701</v>
      </c>
      <c r="T58" s="14">
        <f>$P$101+1*(R58-144037.75)</f>
        <v>20361.744173799605</v>
      </c>
      <c r="U58" s="22">
        <f t="shared" si="5"/>
        <v>56.564056049202883</v>
      </c>
      <c r="V58" s="13">
        <v>200404.218588099</v>
      </c>
      <c r="W58" s="13">
        <v>2.93731689453125</v>
      </c>
      <c r="X58" s="12">
        <f>$T$101-1*(V58-180041)</f>
        <v>15634.454839152597</v>
      </c>
      <c r="Y58" s="24">
        <f t="shared" si="6"/>
        <v>43.432026574732284</v>
      </c>
      <c r="Z58" s="10">
        <v>236409.61731419401</v>
      </c>
      <c r="AA58" s="11">
        <v>3.1710383867975498</v>
      </c>
      <c r="AB58" s="14">
        <f>$X$101+1*(Z58-216046.5)</f>
        <v>20361.642899894614</v>
      </c>
      <c r="AC58" s="22">
        <f t="shared" si="7"/>
        <v>56.563933848526624</v>
      </c>
      <c r="AD58" s="13">
        <v>272413.04462329397</v>
      </c>
      <c r="AE58" s="13">
        <v>2.93853759765625</v>
      </c>
      <c r="AF58" s="12">
        <f>$AB$101-1*(AD58-252049.97)</f>
        <v>15634.497530052635</v>
      </c>
      <c r="AG58" s="24">
        <f t="shared" si="8"/>
        <v>43.432093660866727</v>
      </c>
      <c r="AH58" s="10">
        <v>308418.63035238901</v>
      </c>
      <c r="AI58" s="11">
        <v>3.1716703164456401</v>
      </c>
      <c r="AJ58" s="14">
        <f>$AF$101+1*(AH58-288055.5)</f>
        <v>20361.698628989594</v>
      </c>
      <c r="AK58" s="22">
        <f t="shared" si="9"/>
        <v>0.9758985589063508</v>
      </c>
      <c r="AL58" s="13">
        <v>344422.08966148901</v>
      </c>
      <c r="AM58" s="13">
        <v>2.93792724609375</v>
      </c>
      <c r="AN58" s="14">
        <f>$AJ$101-1*(AL58-324059)</f>
        <v>15634.538220952578</v>
      </c>
      <c r="AO58" s="24"/>
    </row>
    <row r="59" spans="1:41" x14ac:dyDescent="0.25">
      <c r="A59" s="9">
        <v>57</v>
      </c>
      <c r="B59" s="10">
        <v>20746.963384315899</v>
      </c>
      <c r="C59" s="11">
        <v>3.1706561464251899</v>
      </c>
      <c r="D59" s="14">
        <f t="shared" si="0"/>
        <v>20726.696984315899</v>
      </c>
      <c r="E59" s="22">
        <f t="shared" si="1"/>
        <v>57.575757654655625</v>
      </c>
      <c r="F59" s="13">
        <v>56750.658783415303</v>
      </c>
      <c r="G59" s="13">
        <v>2.93670654296875</v>
      </c>
      <c r="H59" s="20">
        <f>$D$101-1*(F59-36023)</f>
        <v>15271.341192644795</v>
      </c>
      <c r="I59" s="24">
        <f t="shared" si="2"/>
        <v>42.422704109526116</v>
      </c>
      <c r="J59" s="11">
        <v>92755.692515511706</v>
      </c>
      <c r="K59" s="11">
        <v>3.1688528349906302</v>
      </c>
      <c r="L59" s="14">
        <f>$H$101+1*(J59-72028.99)</f>
        <v>20725.740716412292</v>
      </c>
      <c r="M59" s="22">
        <f t="shared" si="3"/>
        <v>57.574630678378135</v>
      </c>
      <c r="N59" s="13">
        <v>128759.073822612</v>
      </c>
      <c r="O59" s="13">
        <v>2.93670654296875</v>
      </c>
      <c r="P59" s="12">
        <f>$L$101-1*(N59-108032)</f>
        <v>15270.969885544582</v>
      </c>
      <c r="Q59" s="24">
        <f t="shared" si="4"/>
        <v>42.422110213845869</v>
      </c>
      <c r="R59" s="10">
        <v>164764.45354170699</v>
      </c>
      <c r="S59" s="11">
        <v>3.1714144620028799</v>
      </c>
      <c r="T59" s="14">
        <f>$P$101+1*(R59-144037.75)</f>
        <v>20725.370435507582</v>
      </c>
      <c r="U59" s="22">
        <f t="shared" si="5"/>
        <v>57.574194280616183</v>
      </c>
      <c r="V59" s="13">
        <v>200767.84484980701</v>
      </c>
      <c r="W59" s="13">
        <v>2.93609619140625</v>
      </c>
      <c r="X59" s="12">
        <f>$T$101-1*(V59-180041)</f>
        <v>15270.82857744459</v>
      </c>
      <c r="Y59" s="24">
        <f t="shared" si="6"/>
        <v>42.421884192138748</v>
      </c>
      <c r="Z59" s="10">
        <v>236773.24357590199</v>
      </c>
      <c r="AA59" s="11">
        <v>3.1718121152935899</v>
      </c>
      <c r="AB59" s="14">
        <f>$X$101+1*(Z59-216046.5)</f>
        <v>20725.269161602591</v>
      </c>
      <c r="AC59" s="22">
        <f t="shared" si="7"/>
        <v>57.57407492181612</v>
      </c>
      <c r="AD59" s="13">
        <v>272776.67088500201</v>
      </c>
      <c r="AE59" s="13">
        <v>2.9376220703125</v>
      </c>
      <c r="AF59" s="12">
        <f>$AB$101-1*(AD59-252049.97)</f>
        <v>15270.871268344599</v>
      </c>
      <c r="AG59" s="24">
        <f t="shared" si="8"/>
        <v>42.421952476239795</v>
      </c>
      <c r="AH59" s="10">
        <v>308782.25661409699</v>
      </c>
      <c r="AI59" s="11">
        <v>3.17169189453125</v>
      </c>
      <c r="AJ59" s="14">
        <f>$AF$101+1*(AH59-288055.5)</f>
        <v>20725.324890697571</v>
      </c>
      <c r="AK59" s="22">
        <f t="shared" si="9"/>
        <v>0.97590519831730771</v>
      </c>
      <c r="AL59" s="13">
        <v>344785.71592319699</v>
      </c>
      <c r="AM59" s="13">
        <v>2.93670654296875</v>
      </c>
      <c r="AN59" s="14">
        <f>$AJ$101-1*(AL59-324059)</f>
        <v>15270.9119592446</v>
      </c>
      <c r="AO59" s="24"/>
    </row>
    <row r="60" spans="1:41" x14ac:dyDescent="0.25">
      <c r="A60" s="9">
        <v>58</v>
      </c>
      <c r="B60" s="10">
        <v>21110.589646024098</v>
      </c>
      <c r="C60" s="11">
        <v>3.17159325185448</v>
      </c>
      <c r="D60" s="14">
        <f t="shared" si="0"/>
        <v>21090.323246024098</v>
      </c>
      <c r="E60" s="22">
        <f t="shared" si="1"/>
        <v>58.585858662878124</v>
      </c>
      <c r="F60" s="13">
        <v>57114.285045123499</v>
      </c>
      <c r="G60" s="13">
        <v>2.93609619140625</v>
      </c>
      <c r="H60" s="20">
        <f>$D$101-1*(F60-36023)</f>
        <v>14907.7149309366</v>
      </c>
      <c r="I60" s="24">
        <f t="shared" si="2"/>
        <v>41.412576111447628</v>
      </c>
      <c r="J60" s="11">
        <v>93119.3187772198</v>
      </c>
      <c r="K60" s="11">
        <v>3.1693491309581199</v>
      </c>
      <c r="L60" s="14">
        <f>$H$101+1*(J60-72028.99)</f>
        <v>21089.366978120386</v>
      </c>
      <c r="M60" s="22">
        <f t="shared" si="3"/>
        <v>58.584758519368854</v>
      </c>
      <c r="N60" s="13">
        <v>129122.70008431999</v>
      </c>
      <c r="O60" s="13">
        <v>2.93548583984375</v>
      </c>
      <c r="P60" s="12">
        <f>$L$101-1*(N60-108032)</f>
        <v>14907.34362383659</v>
      </c>
      <c r="Q60" s="24">
        <f t="shared" si="4"/>
        <v>41.411971796545529</v>
      </c>
      <c r="R60" s="10">
        <v>165128.07980341499</v>
      </c>
      <c r="S60" s="11">
        <v>3.1708842576148801</v>
      </c>
      <c r="T60" s="14">
        <f>$P$101+1*(R60-144037.75)</f>
        <v>21088.996697215589</v>
      </c>
      <c r="U60" s="22">
        <f t="shared" si="5"/>
        <v>58.584332512029583</v>
      </c>
      <c r="V60" s="13">
        <v>201131.47111151501</v>
      </c>
      <c r="W60" s="13">
        <v>2.93487548828125</v>
      </c>
      <c r="X60" s="12">
        <f>$T$101-1*(V60-180041)</f>
        <v>14907.202315736584</v>
      </c>
      <c r="Y60" s="24">
        <f t="shared" si="6"/>
        <v>41.411741809545205</v>
      </c>
      <c r="Z60" s="10">
        <v>237136.86983760999</v>
      </c>
      <c r="AA60" s="11">
        <v>3.17250877919827</v>
      </c>
      <c r="AB60" s="14">
        <f>$X$101+1*(Z60-216046.5)</f>
        <v>21088.895423310598</v>
      </c>
      <c r="AC60" s="22">
        <f t="shared" si="7"/>
        <v>58.584215995105701</v>
      </c>
      <c r="AD60" s="13">
        <v>273140.29714670999</v>
      </c>
      <c r="AE60" s="13">
        <v>2.9364013671875</v>
      </c>
      <c r="AF60" s="12">
        <f>$AB$101-1*(AD60-252049.97)</f>
        <v>14907.245006636622</v>
      </c>
      <c r="AG60" s="24">
        <f t="shared" si="8"/>
        <v>41.41181129161302</v>
      </c>
      <c r="AH60" s="10">
        <v>309145.88287580502</v>
      </c>
      <c r="AI60" s="11">
        <v>3.17240088877069</v>
      </c>
      <c r="AJ60" s="14">
        <f>$AF$101+1*(AH60-288055.5)</f>
        <v>21088.951152405607</v>
      </c>
      <c r="AK60" s="22">
        <f t="shared" si="9"/>
        <v>0.97612335039098153</v>
      </c>
      <c r="AL60" s="13">
        <v>345149.34218490502</v>
      </c>
      <c r="AM60" s="13">
        <v>2.93548583984375</v>
      </c>
      <c r="AN60" s="14">
        <f>$AJ$101-1*(AL60-324059)</f>
        <v>14907.285697536565</v>
      </c>
      <c r="AO60" s="24"/>
    </row>
    <row r="61" spans="1:41" x14ac:dyDescent="0.25">
      <c r="A61" s="9">
        <v>59</v>
      </c>
      <c r="B61" s="10">
        <v>21474.215907732301</v>
      </c>
      <c r="C61" s="11">
        <v>3.17230224609375</v>
      </c>
      <c r="D61" s="14">
        <f t="shared" si="0"/>
        <v>21453.949507732301</v>
      </c>
      <c r="E61" s="22">
        <f t="shared" si="1"/>
        <v>59.59595967110063</v>
      </c>
      <c r="F61" s="13">
        <v>57477.911306831702</v>
      </c>
      <c r="G61" s="13">
        <v>2.9351806640625</v>
      </c>
      <c r="H61" s="20">
        <f>$D$101-1*(F61-36023)</f>
        <v>14544.088669228397</v>
      </c>
      <c r="I61" s="24">
        <f t="shared" si="2"/>
        <v>40.402448113369118</v>
      </c>
      <c r="J61" s="11">
        <v>93482.945038927995</v>
      </c>
      <c r="K61" s="11">
        <v>3.1710661300505998</v>
      </c>
      <c r="L61" s="14">
        <f>$H$101+1*(J61-72028.99)</f>
        <v>21452.993239828582</v>
      </c>
      <c r="M61" s="22">
        <f t="shared" si="3"/>
        <v>59.594886360359844</v>
      </c>
      <c r="N61" s="13">
        <v>129486.326346028</v>
      </c>
      <c r="O61" s="13">
        <v>2.9345703125</v>
      </c>
      <c r="P61" s="12">
        <f>$L$101-1*(N61-108032)</f>
        <v>14543.717362128584</v>
      </c>
      <c r="Q61" s="24">
        <f t="shared" si="4"/>
        <v>40.401833379245147</v>
      </c>
      <c r="R61" s="10">
        <v>165491.706065123</v>
      </c>
      <c r="S61" s="11">
        <v>3.172607421875</v>
      </c>
      <c r="T61" s="14">
        <f>$P$101+1*(R61-144037.75)</f>
        <v>21452.622958923595</v>
      </c>
      <c r="U61" s="22">
        <f t="shared" si="5"/>
        <v>59.594470743442962</v>
      </c>
      <c r="V61" s="13">
        <v>201495.09737322299</v>
      </c>
      <c r="W61" s="13">
        <v>2.9336701980745801</v>
      </c>
      <c r="X61" s="12">
        <f>$T$101-1*(V61-180041)</f>
        <v>14543.576054028606</v>
      </c>
      <c r="Y61" s="24">
        <f t="shared" si="6"/>
        <v>40.401599426951748</v>
      </c>
      <c r="Z61" s="10">
        <v>237500.496099318</v>
      </c>
      <c r="AA61" s="11">
        <v>3.17291259765625</v>
      </c>
      <c r="AB61" s="14">
        <f>$X$101+1*(Z61-216046.5)</f>
        <v>21452.521685018604</v>
      </c>
      <c r="AC61" s="22">
        <f t="shared" si="7"/>
        <v>59.594357068395276</v>
      </c>
      <c r="AD61" s="13">
        <v>273503.92340841802</v>
      </c>
      <c r="AE61" s="13">
        <v>2.9351806640625</v>
      </c>
      <c r="AF61" s="12">
        <f>$AB$101-1*(AD61-252049.97)</f>
        <v>14543.618744928586</v>
      </c>
      <c r="AG61" s="24">
        <f t="shared" si="8"/>
        <v>40.401670106986089</v>
      </c>
      <c r="AH61" s="10">
        <v>309509.509137513</v>
      </c>
      <c r="AI61" s="11">
        <v>3.17356918797284</v>
      </c>
      <c r="AJ61" s="14">
        <f>$AF$101+1*(AH61-288055.5)</f>
        <v>21452.577414113584</v>
      </c>
      <c r="AK61" s="22">
        <f t="shared" si="9"/>
        <v>0.97648282706856615</v>
      </c>
      <c r="AL61" s="13">
        <v>345512.968446613</v>
      </c>
      <c r="AM61" s="13">
        <v>2.9345703125</v>
      </c>
      <c r="AN61" s="14">
        <f>$AJ$101-1*(AL61-324059)</f>
        <v>14543.659435828587</v>
      </c>
      <c r="AO61" s="24"/>
    </row>
    <row r="62" spans="1:41" x14ac:dyDescent="0.25">
      <c r="A62" s="9">
        <v>60</v>
      </c>
      <c r="B62" s="10">
        <v>21837.842169440501</v>
      </c>
      <c r="C62" s="11">
        <v>3.17273689038826</v>
      </c>
      <c r="D62" s="14">
        <f t="shared" si="0"/>
        <v>21817.5757694405</v>
      </c>
      <c r="E62" s="22">
        <f t="shared" si="1"/>
        <v>60.606060679323129</v>
      </c>
      <c r="F62" s="13">
        <v>57841.537568539898</v>
      </c>
      <c r="G62" s="13">
        <v>2.93426513671875</v>
      </c>
      <c r="H62" s="20">
        <f>$D$101-1*(F62-36023)</f>
        <v>14180.462407520201</v>
      </c>
      <c r="I62" s="24">
        <f t="shared" si="2"/>
        <v>39.392320115290623</v>
      </c>
      <c r="J62" s="11">
        <v>93846.571300636206</v>
      </c>
      <c r="K62" s="11">
        <v>3.1715624260180899</v>
      </c>
      <c r="L62" s="14">
        <f>$H$101+1*(J62-72028.99)</f>
        <v>21816.619501536792</v>
      </c>
      <c r="M62" s="22">
        <f t="shared" si="3"/>
        <v>60.605014201350869</v>
      </c>
      <c r="N62" s="13">
        <v>129849.95260773601</v>
      </c>
      <c r="O62" s="13">
        <v>2.93365478515625</v>
      </c>
      <c r="P62" s="12">
        <f>$L$101-1*(N62-108032)</f>
        <v>14180.091100420577</v>
      </c>
      <c r="Q62" s="24">
        <f t="shared" si="4"/>
        <v>39.391694961944765</v>
      </c>
      <c r="R62" s="10">
        <v>165855.33232683199</v>
      </c>
      <c r="S62" s="11">
        <v>3.17317153468248</v>
      </c>
      <c r="T62" s="14">
        <f>$P$101+1*(R62-144037.75)</f>
        <v>21816.249220632591</v>
      </c>
      <c r="U62" s="22">
        <f t="shared" si="5"/>
        <v>60.604608974859097</v>
      </c>
      <c r="V62" s="13">
        <v>201858.72363493199</v>
      </c>
      <c r="W62" s="13">
        <v>2.93243408203125</v>
      </c>
      <c r="X62" s="12">
        <f>$T$101-1*(V62-180041)</f>
        <v>14179.94979231961</v>
      </c>
      <c r="Y62" s="24">
        <f t="shared" si="6"/>
        <v>39.391457044355462</v>
      </c>
      <c r="Z62" s="10">
        <v>237864.122361027</v>
      </c>
      <c r="AA62" s="11">
        <v>3.17387436375467</v>
      </c>
      <c r="AB62" s="14">
        <f>$X$101+1*(Z62-216046.5)</f>
        <v>21816.1479467276</v>
      </c>
      <c r="AC62" s="22">
        <f t="shared" si="7"/>
        <v>60.604498141687614</v>
      </c>
      <c r="AD62" s="13">
        <v>273867.54967012699</v>
      </c>
      <c r="AE62" s="13">
        <v>2.9339599609375</v>
      </c>
      <c r="AF62" s="12">
        <f>$AB$101-1*(AD62-252049.97)</f>
        <v>14179.992483219619</v>
      </c>
      <c r="AG62" s="24">
        <f t="shared" si="8"/>
        <v>39.391528922356564</v>
      </c>
      <c r="AH62" s="10">
        <v>309873.13539922202</v>
      </c>
      <c r="AI62" s="11">
        <v>3.1742627692943599</v>
      </c>
      <c r="AJ62" s="14">
        <f>$AF$101+1*(AH62-288055.5)</f>
        <v>21816.20367582261</v>
      </c>
      <c r="AK62" s="22">
        <f t="shared" si="9"/>
        <v>0.97669623670595684</v>
      </c>
      <c r="AL62" s="13">
        <v>345876.59470832202</v>
      </c>
      <c r="AM62" s="13">
        <v>2.933349609375</v>
      </c>
      <c r="AN62" s="14">
        <f>$AJ$101-1*(AL62-324059)</f>
        <v>14180.033174119562</v>
      </c>
      <c r="AO62" s="24"/>
    </row>
    <row r="63" spans="1:41" x14ac:dyDescent="0.25">
      <c r="A63" s="9">
        <v>61</v>
      </c>
      <c r="B63" s="10">
        <v>22201.4684311487</v>
      </c>
      <c r="C63" s="11">
        <v>3.1737664733270199</v>
      </c>
      <c r="D63" s="14">
        <f t="shared" si="0"/>
        <v>22181.202031148699</v>
      </c>
      <c r="E63" s="22">
        <f t="shared" si="1"/>
        <v>61.61616168754562</v>
      </c>
      <c r="F63" s="13">
        <v>58205.163830248101</v>
      </c>
      <c r="G63" s="13">
        <v>2.933349609375</v>
      </c>
      <c r="H63" s="20">
        <f>$D$101-1*(F63-36023)</f>
        <v>13816.836145811998</v>
      </c>
      <c r="I63" s="24">
        <f t="shared" si="2"/>
        <v>38.382192117212114</v>
      </c>
      <c r="J63" s="11">
        <v>94210.197562344401</v>
      </c>
      <c r="K63" s="11">
        <v>3.17236389776683</v>
      </c>
      <c r="L63" s="14">
        <f>$H$101+1*(J63-72028.99)</f>
        <v>22180.245763244988</v>
      </c>
      <c r="M63" s="22">
        <f t="shared" si="3"/>
        <v>61.615142042341866</v>
      </c>
      <c r="N63" s="13">
        <v>130213.578869444</v>
      </c>
      <c r="O63" s="13">
        <v>2.93243408203125</v>
      </c>
      <c r="P63" s="12">
        <f>$L$101-1*(N63-108032)</f>
        <v>13816.464838712585</v>
      </c>
      <c r="Q63" s="24">
        <f t="shared" si="4"/>
        <v>38.381556544644425</v>
      </c>
      <c r="R63" s="10">
        <v>166218.95858854</v>
      </c>
      <c r="S63" s="11">
        <v>3.1746203489976099</v>
      </c>
      <c r="T63" s="14">
        <f>$P$101+1*(R63-144037.75)</f>
        <v>22179.875482340598</v>
      </c>
      <c r="U63" s="22">
        <f t="shared" si="5"/>
        <v>61.61474720627249</v>
      </c>
      <c r="V63" s="13">
        <v>202222.34989663999</v>
      </c>
      <c r="W63" s="13">
        <v>2.93121337890625</v>
      </c>
      <c r="X63" s="12">
        <f>$T$101-1*(V63-180041)</f>
        <v>13816.323530611604</v>
      </c>
      <c r="Y63" s="24">
        <f t="shared" si="6"/>
        <v>38.38131466176192</v>
      </c>
      <c r="Z63" s="10">
        <v>238227.748622735</v>
      </c>
      <c r="AA63" s="11">
        <v>3.1745617799085202</v>
      </c>
      <c r="AB63" s="14">
        <f>$X$101+1*(Z63-216046.5)</f>
        <v>22179.774208435607</v>
      </c>
      <c r="AC63" s="22">
        <f t="shared" si="7"/>
        <v>61.614639214977196</v>
      </c>
      <c r="AD63" s="13">
        <v>274231.17593183502</v>
      </c>
      <c r="AE63" s="13">
        <v>2.9327392578125</v>
      </c>
      <c r="AF63" s="12">
        <f>$AB$101-1*(AD63-252049.97)</f>
        <v>13816.366221511584</v>
      </c>
      <c r="AG63" s="24">
        <f t="shared" si="8"/>
        <v>38.381387737729632</v>
      </c>
      <c r="AH63" s="10">
        <v>310236.76166093</v>
      </c>
      <c r="AI63" s="11">
        <v>3.175048828125</v>
      </c>
      <c r="AJ63" s="14">
        <f>$AF$101+1*(AH63-288055.5)</f>
        <v>22179.829937530587</v>
      </c>
      <c r="AK63" s="22">
        <f t="shared" si="9"/>
        <v>0.97693810096153844</v>
      </c>
      <c r="AL63" s="13">
        <v>346240.22097003</v>
      </c>
      <c r="AM63" s="13">
        <v>2.93212890625</v>
      </c>
      <c r="AN63" s="14">
        <f>$AJ$101-1*(AL63-324059)</f>
        <v>13816.406912411585</v>
      </c>
      <c r="AO63" s="24"/>
    </row>
    <row r="64" spans="1:41" x14ac:dyDescent="0.25">
      <c r="A64" s="9">
        <v>62</v>
      </c>
      <c r="B64" s="10">
        <v>22565.094692856899</v>
      </c>
      <c r="C64" s="11">
        <v>3.1739329328440702</v>
      </c>
      <c r="D64" s="14">
        <f t="shared" si="0"/>
        <v>22544.828292856899</v>
      </c>
      <c r="E64" s="22">
        <f t="shared" si="1"/>
        <v>62.626262695768119</v>
      </c>
      <c r="F64" s="13">
        <v>58568.790091956304</v>
      </c>
      <c r="G64" s="13">
        <v>2.93243408203125</v>
      </c>
      <c r="H64" s="20">
        <f>$D$101-1*(F64-36023)</f>
        <v>13453.209884103795</v>
      </c>
      <c r="I64" s="24">
        <f t="shared" si="2"/>
        <v>37.372064119133597</v>
      </c>
      <c r="J64" s="11">
        <v>94573.823824052597</v>
      </c>
      <c r="K64" s="11">
        <v>3.17352294921875</v>
      </c>
      <c r="L64" s="14">
        <f>$H$101+1*(J64-72028.99)</f>
        <v>22543.872024953183</v>
      </c>
      <c r="M64" s="22">
        <f t="shared" si="3"/>
        <v>62.625269883332855</v>
      </c>
      <c r="N64" s="13">
        <v>130577.20513115299</v>
      </c>
      <c r="O64" s="13">
        <v>2.93121337890625</v>
      </c>
      <c r="P64" s="12">
        <f>$L$101-1*(N64-108032)</f>
        <v>13452.838577003589</v>
      </c>
      <c r="Q64" s="24">
        <f t="shared" si="4"/>
        <v>37.371418127341286</v>
      </c>
      <c r="R64" s="10">
        <v>166582.58485024801</v>
      </c>
      <c r="S64" s="11">
        <v>3.17515363596902</v>
      </c>
      <c r="T64" s="14">
        <f>$P$101+1*(R64-144037.75)</f>
        <v>22543.501744048604</v>
      </c>
      <c r="U64" s="22">
        <f t="shared" si="5"/>
        <v>62.624885437685876</v>
      </c>
      <c r="V64" s="13">
        <v>202585.976158348</v>
      </c>
      <c r="W64" s="13">
        <v>2.92999267578125</v>
      </c>
      <c r="X64" s="12">
        <f>$T$101-1*(V64-180041)</f>
        <v>13452.697268903597</v>
      </c>
      <c r="Y64" s="24">
        <f t="shared" si="6"/>
        <v>37.371172279168377</v>
      </c>
      <c r="Z64" s="10">
        <v>238591.37488444301</v>
      </c>
      <c r="AA64" s="11">
        <v>3.1754064078282598</v>
      </c>
      <c r="AB64" s="14">
        <f>$X$101+1*(Z64-216046.5)</f>
        <v>22543.400470143613</v>
      </c>
      <c r="AC64" s="22">
        <f t="shared" si="7"/>
        <v>62.62478028826677</v>
      </c>
      <c r="AD64" s="13">
        <v>274594.802193543</v>
      </c>
      <c r="AE64" s="13">
        <v>2.9315185546875</v>
      </c>
      <c r="AF64" s="12">
        <f>$AB$101-1*(AD64-252049.97)</f>
        <v>13452.739959803606</v>
      </c>
      <c r="AG64" s="24">
        <f t="shared" si="8"/>
        <v>37.371246553102857</v>
      </c>
      <c r="AH64" s="10">
        <v>310600.38792263798</v>
      </c>
      <c r="AI64" s="11">
        <v>3.17626953125</v>
      </c>
      <c r="AJ64" s="14">
        <f>$AF$101+1*(AH64-288055.5)</f>
        <v>22543.456199238564</v>
      </c>
      <c r="AK64" s="22">
        <f t="shared" si="9"/>
        <v>0.97731370192307687</v>
      </c>
      <c r="AL64" s="13">
        <v>346603.84723173798</v>
      </c>
      <c r="AM64" s="13">
        <v>2.930908203125</v>
      </c>
      <c r="AN64" s="14">
        <f>$AJ$101-1*(AL64-324059)</f>
        <v>13452.780650703608</v>
      </c>
      <c r="AO64" s="24"/>
    </row>
    <row r="65" spans="1:41" x14ac:dyDescent="0.25">
      <c r="A65" s="9">
        <v>63</v>
      </c>
      <c r="B65" s="10">
        <v>22928.720954565099</v>
      </c>
      <c r="C65" s="11">
        <v>3.1747159090908998</v>
      </c>
      <c r="D65" s="14">
        <f t="shared" si="0"/>
        <v>22908.454554565098</v>
      </c>
      <c r="E65" s="22">
        <f t="shared" si="1"/>
        <v>63.636363703990618</v>
      </c>
      <c r="F65" s="13">
        <v>58932.416353664499</v>
      </c>
      <c r="G65" s="13">
        <v>2.9315185546875</v>
      </c>
      <c r="H65" s="20">
        <f>$D$101-1*(F65-36023)</f>
        <v>13089.583622395599</v>
      </c>
      <c r="I65" s="24">
        <f t="shared" si="2"/>
        <v>36.361936121055102</v>
      </c>
      <c r="J65" s="11">
        <v>94937.450085760807</v>
      </c>
      <c r="K65" s="11">
        <v>3.1744107333098599</v>
      </c>
      <c r="L65" s="14">
        <f>$H$101+1*(J65-72028.99)</f>
        <v>22907.498286661394</v>
      </c>
      <c r="M65" s="22">
        <f t="shared" si="3"/>
        <v>63.635397724323894</v>
      </c>
      <c r="N65" s="13">
        <v>130940.831392861</v>
      </c>
      <c r="O65" s="13">
        <v>2.9302978515625</v>
      </c>
      <c r="P65" s="12">
        <f>$L$101-1*(N65-108032)</f>
        <v>13089.212315295583</v>
      </c>
      <c r="Q65" s="24">
        <f t="shared" si="4"/>
        <v>36.361279710040904</v>
      </c>
      <c r="R65" s="10">
        <v>166946.21111195601</v>
      </c>
      <c r="S65" s="11">
        <v>3.1759920987213102</v>
      </c>
      <c r="T65" s="14">
        <f>$P$101+1*(R65-144037.75)</f>
        <v>22907.128005756611</v>
      </c>
      <c r="U65" s="22">
        <f t="shared" si="5"/>
        <v>63.635023669099269</v>
      </c>
      <c r="V65" s="13">
        <v>202949.60242005601</v>
      </c>
      <c r="W65" s="13">
        <v>2.92877197265625</v>
      </c>
      <c r="X65" s="12">
        <f>$T$101-1*(V65-180041)</f>
        <v>13089.071007195591</v>
      </c>
      <c r="Y65" s="24">
        <f t="shared" si="6"/>
        <v>36.361029896574841</v>
      </c>
      <c r="Z65" s="10">
        <v>238955.00114615099</v>
      </c>
      <c r="AA65" s="11">
        <v>3.1764359907670698</v>
      </c>
      <c r="AB65" s="14">
        <f>$X$101+1*(Z65-216046.5)</f>
        <v>22907.026731851591</v>
      </c>
      <c r="AC65" s="22">
        <f t="shared" si="7"/>
        <v>63.634921361556273</v>
      </c>
      <c r="AD65" s="13">
        <v>274958.42845525098</v>
      </c>
      <c r="AE65" s="13">
        <v>2.9302978515625</v>
      </c>
      <c r="AF65" s="12">
        <f>$AB$101-1*(AD65-252049.97)</f>
        <v>13089.113698095629</v>
      </c>
      <c r="AG65" s="24">
        <f t="shared" si="8"/>
        <v>36.361105368476089</v>
      </c>
      <c r="AH65" s="10">
        <v>310964.01418434602</v>
      </c>
      <c r="AI65" s="11">
        <v>3.17704634232941</v>
      </c>
      <c r="AJ65" s="14">
        <f>$AF$101+1*(AH65-288055.5)</f>
        <v>22907.0824609466</v>
      </c>
      <c r="AK65" s="22">
        <f t="shared" si="9"/>
        <v>0.97755272071674149</v>
      </c>
      <c r="AL65" s="13">
        <v>346967.47349344601</v>
      </c>
      <c r="AM65" s="13">
        <v>2.92938232421875</v>
      </c>
      <c r="AN65" s="14">
        <f>$AJ$101-1*(AL65-324059)</f>
        <v>13089.154388995572</v>
      </c>
      <c r="AO65" s="24"/>
    </row>
    <row r="66" spans="1:41" x14ac:dyDescent="0.25">
      <c r="A66" s="9">
        <v>64</v>
      </c>
      <c r="B66" s="10">
        <v>23292.347216273301</v>
      </c>
      <c r="C66" s="11">
        <v>3.1759396947995602</v>
      </c>
      <c r="D66" s="14">
        <f t="shared" si="0"/>
        <v>23272.080816273301</v>
      </c>
      <c r="E66" s="22">
        <f t="shared" si="1"/>
        <v>64.646464712213117</v>
      </c>
      <c r="F66" s="13">
        <v>59296.042615372702</v>
      </c>
      <c r="G66" s="13">
        <v>2.93060302734375</v>
      </c>
      <c r="H66" s="20">
        <f>$D$101-1*(F66-36023)</f>
        <v>12725.957360687396</v>
      </c>
      <c r="I66" s="24">
        <f t="shared" si="2"/>
        <v>35.3518081229766</v>
      </c>
      <c r="J66" s="11">
        <v>95301.076347469003</v>
      </c>
      <c r="K66" s="11">
        <v>3.1744877979010901</v>
      </c>
      <c r="L66" s="14">
        <f>$H$101+1*(J66-72028.99)</f>
        <v>23271.124548369589</v>
      </c>
      <c r="M66" s="22">
        <f t="shared" si="3"/>
        <v>64.64552556531487</v>
      </c>
      <c r="N66" s="13">
        <v>131304.45765456901</v>
      </c>
      <c r="O66" s="13">
        <v>2.9290771484375</v>
      </c>
      <c r="P66" s="12">
        <f>$L$101-1*(N66-108032)</f>
        <v>12725.586053587576</v>
      </c>
      <c r="Q66" s="24">
        <f t="shared" si="4"/>
        <v>35.351141292740522</v>
      </c>
      <c r="R66" s="10">
        <v>167309.83737366399</v>
      </c>
      <c r="S66" s="11">
        <v>3.17657470703125</v>
      </c>
      <c r="T66" s="14">
        <f>$P$101+1*(R66-144037.75)</f>
        <v>23270.754267464588</v>
      </c>
      <c r="U66" s="22">
        <f t="shared" si="5"/>
        <v>64.645161900512576</v>
      </c>
      <c r="V66" s="13">
        <v>203313.22868176401</v>
      </c>
      <c r="W66" s="13">
        <v>2.92724609375</v>
      </c>
      <c r="X66" s="12">
        <f>$T$101-1*(V66-180041)</f>
        <v>12725.444745487584</v>
      </c>
      <c r="Y66" s="24">
        <f t="shared" si="6"/>
        <v>35.350887513981306</v>
      </c>
      <c r="Z66" s="10">
        <v>239318.62740785899</v>
      </c>
      <c r="AA66" s="11">
        <v>3.1769045434816099</v>
      </c>
      <c r="AB66" s="14">
        <f>$X$101+1*(Z66-216046.5)</f>
        <v>23270.652993559597</v>
      </c>
      <c r="AC66" s="22">
        <f t="shared" si="7"/>
        <v>64.64506243484584</v>
      </c>
      <c r="AD66" s="13">
        <v>275322.05471695901</v>
      </c>
      <c r="AE66" s="13">
        <v>2.9290771484375</v>
      </c>
      <c r="AF66" s="12">
        <f>$AB$101-1*(AD66-252049.97)</f>
        <v>12725.487436387593</v>
      </c>
      <c r="AG66" s="24">
        <f t="shared" si="8"/>
        <v>35.350964183849158</v>
      </c>
      <c r="AH66" s="10">
        <v>311327.64044605399</v>
      </c>
      <c r="AI66" s="11">
        <v>3.1778200708256299</v>
      </c>
      <c r="AJ66" s="14">
        <f>$AF$101+1*(AH66-288055.5)</f>
        <v>23270.708722654577</v>
      </c>
      <c r="AK66" s="22">
        <f t="shared" si="9"/>
        <v>0.97779079102327071</v>
      </c>
      <c r="AL66" s="13">
        <v>347331.09975515399</v>
      </c>
      <c r="AM66" s="13">
        <v>2.92816162109375</v>
      </c>
      <c r="AN66" s="14">
        <f>$AJ$101-1*(AL66-324059)</f>
        <v>12725.528127287595</v>
      </c>
      <c r="AO66" s="24"/>
    </row>
    <row r="67" spans="1:41" x14ac:dyDescent="0.25">
      <c r="A67" s="9">
        <v>65</v>
      </c>
      <c r="B67" s="10">
        <v>23655.973477981501</v>
      </c>
      <c r="C67" s="11">
        <v>3.1763959171796001</v>
      </c>
      <c r="D67" s="14">
        <f t="shared" ref="D67:D101" si="10">1*(B67-20.2664)</f>
        <v>23635.7070779815</v>
      </c>
      <c r="E67" s="22">
        <f t="shared" ref="E67:E101" si="11">(D67/$D$101)*100</f>
        <v>65.656565720435609</v>
      </c>
      <c r="F67" s="13">
        <v>59659.668877080898</v>
      </c>
      <c r="G67" s="13">
        <v>2.9296875</v>
      </c>
      <c r="H67" s="20">
        <f>$D$101-1*(F67-36023)</f>
        <v>12362.331098979201</v>
      </c>
      <c r="I67" s="24">
        <f t="shared" ref="I67:I101" si="12">(H67/$H$2)*100</f>
        <v>34.341680124898105</v>
      </c>
      <c r="J67" s="11">
        <v>95664.702609177199</v>
      </c>
      <c r="K67" s="11">
        <v>3.17596435546875</v>
      </c>
      <c r="L67" s="14">
        <f>$H$101+1*(J67-72028.99)</f>
        <v>23634.750810077785</v>
      </c>
      <c r="M67" s="22">
        <f t="shared" ref="M67:M101" si="13">(L67/$L$101)*100</f>
        <v>65.655653406305873</v>
      </c>
      <c r="N67" s="13">
        <v>131668.08391627701</v>
      </c>
      <c r="O67" s="13">
        <v>2.9278564453125</v>
      </c>
      <c r="P67" s="12">
        <f>$L$101-1*(N67-108032)</f>
        <v>12361.95979187957</v>
      </c>
      <c r="Q67" s="24">
        <f t="shared" ref="Q67:Q101" si="14">(P67/$P$2)*100</f>
        <v>34.34100287544014</v>
      </c>
      <c r="R67" s="10">
        <v>167673.463635372</v>
      </c>
      <c r="S67" s="11">
        <v>3.1778848050819199</v>
      </c>
      <c r="T67" s="14">
        <f>$P$101+1*(R67-144037.75)</f>
        <v>23634.380529172595</v>
      </c>
      <c r="U67" s="22">
        <f t="shared" ref="U67:U101" si="15">(T67/$T$101)*100</f>
        <v>65.655300131925969</v>
      </c>
      <c r="V67" s="13">
        <v>203676.85494347199</v>
      </c>
      <c r="W67" s="13">
        <v>2.926025390625</v>
      </c>
      <c r="X67" s="12">
        <f>$T$101-1*(V67-180041)</f>
        <v>12361.818483779607</v>
      </c>
      <c r="Y67" s="24">
        <f t="shared" ref="Y67:Y101" si="16">(X67/$X$2)*100</f>
        <v>34.340745131387848</v>
      </c>
      <c r="Z67" s="10">
        <v>239682.253669567</v>
      </c>
      <c r="AA67" s="11">
        <v>3.17801119101162</v>
      </c>
      <c r="AB67" s="14">
        <f>$X$101+1*(Z67-216046.5)</f>
        <v>23634.279255267604</v>
      </c>
      <c r="AC67" s="22">
        <f t="shared" ref="AC67:AC101" si="17">(AB67/$AB$101)*100</f>
        <v>65.655203508135429</v>
      </c>
      <c r="AD67" s="13">
        <v>275685.68097866699</v>
      </c>
      <c r="AE67" s="13">
        <v>2.92755126953125</v>
      </c>
      <c r="AF67" s="12">
        <f>$AB$101-1*(AD67-252049.97)</f>
        <v>12361.861174679616</v>
      </c>
      <c r="AG67" s="24">
        <f t="shared" ref="AG67:AG101" si="18">(AF67/$AF$2)*100</f>
        <v>34.340822999222382</v>
      </c>
      <c r="AH67" s="10">
        <v>311691.26670776302</v>
      </c>
      <c r="AI67" s="11">
        <v>3.17880033242565</v>
      </c>
      <c r="AJ67" s="14">
        <f>$AF$101+1*(AH67-288055.5)</f>
        <v>23634.334984363602</v>
      </c>
      <c r="AK67" s="22">
        <f t="shared" ref="AK67:AK101" si="19">AI67/3.25</f>
        <v>0.9780924099771231</v>
      </c>
      <c r="AL67" s="13">
        <v>347694.72601686302</v>
      </c>
      <c r="AM67" s="13">
        <v>2.92694091796875</v>
      </c>
      <c r="AN67" s="14">
        <f>$AJ$101-1*(AL67-324059)</f>
        <v>12361.901865578569</v>
      </c>
      <c r="AO67" s="24"/>
    </row>
    <row r="68" spans="1:41" x14ac:dyDescent="0.25">
      <c r="A68" s="9">
        <v>66</v>
      </c>
      <c r="B68" s="10">
        <v>24019.5997396897</v>
      </c>
      <c r="C68" s="11">
        <v>3.1767781575520702</v>
      </c>
      <c r="D68" s="14">
        <f t="shared" si="10"/>
        <v>23999.3333396897</v>
      </c>
      <c r="E68" s="22">
        <f t="shared" si="11"/>
        <v>66.666666728658114</v>
      </c>
      <c r="F68" s="13">
        <v>60023.295138789101</v>
      </c>
      <c r="G68" s="13">
        <v>2.928466796875</v>
      </c>
      <c r="H68" s="20">
        <f>$D$101-1*(F68-36023)</f>
        <v>11998.704837270998</v>
      </c>
      <c r="I68" s="24">
        <f t="shared" si="12"/>
        <v>33.331552126819588</v>
      </c>
      <c r="J68" s="11">
        <v>96028.328870885394</v>
      </c>
      <c r="K68" s="11">
        <v>3.17708333333323</v>
      </c>
      <c r="L68" s="14">
        <f>$H$101+1*(J68-72028.99)</f>
        <v>23998.377071785981</v>
      </c>
      <c r="M68" s="22">
        <f t="shared" si="13"/>
        <v>66.665781247296863</v>
      </c>
      <c r="N68" s="13">
        <v>132031.71017798499</v>
      </c>
      <c r="O68" s="13">
        <v>2.9266357421875</v>
      </c>
      <c r="P68" s="12">
        <f>$L$101-1*(N68-108032)</f>
        <v>11998.333530171592</v>
      </c>
      <c r="Q68" s="24">
        <f t="shared" si="14"/>
        <v>33.330864458139835</v>
      </c>
      <c r="R68" s="10">
        <v>168037.08989708099</v>
      </c>
      <c r="S68" s="11">
        <v>3.17881266276052</v>
      </c>
      <c r="T68" s="14">
        <f>$P$101+1*(R68-144037.75)</f>
        <v>23998.006790881591</v>
      </c>
      <c r="U68" s="22">
        <f t="shared" si="15"/>
        <v>66.665438363342105</v>
      </c>
      <c r="V68" s="13">
        <v>204040.48120518099</v>
      </c>
      <c r="W68" s="13">
        <v>2.92449951171875</v>
      </c>
      <c r="X68" s="12">
        <f>$T$101-1*(V68-180041)</f>
        <v>11998.192222070611</v>
      </c>
      <c r="Y68" s="24">
        <f t="shared" si="16"/>
        <v>33.330602748791556</v>
      </c>
      <c r="Z68" s="10">
        <v>240045.87993127599</v>
      </c>
      <c r="AA68" s="11">
        <v>3.1792195638020799</v>
      </c>
      <c r="AB68" s="14">
        <f>$X$101+1*(Z68-216046.5)</f>
        <v>23997.9055169766</v>
      </c>
      <c r="AC68" s="22">
        <f t="shared" si="17"/>
        <v>66.66534458142776</v>
      </c>
      <c r="AD68" s="13">
        <v>276049.30724037602</v>
      </c>
      <c r="AE68" s="13">
        <v>2.926025390625</v>
      </c>
      <c r="AF68" s="12">
        <f>$AB$101-1*(AD68-252049.97)</f>
        <v>11998.234912970591</v>
      </c>
      <c r="AG68" s="24">
        <f t="shared" si="18"/>
        <v>33.330681814592701</v>
      </c>
      <c r="AH68" s="10">
        <v>312054.892969471</v>
      </c>
      <c r="AI68" s="11">
        <v>3.18013509114573</v>
      </c>
      <c r="AJ68" s="14">
        <f>$AF$101+1*(AH68-288055.5)</f>
        <v>23997.96124607158</v>
      </c>
      <c r="AK68" s="22">
        <f t="shared" si="19"/>
        <v>0.97850310496791693</v>
      </c>
      <c r="AL68" s="13">
        <v>348058.35227857099</v>
      </c>
      <c r="AM68" s="13">
        <v>2.9254150390625</v>
      </c>
      <c r="AN68" s="14">
        <f>$AJ$101-1*(AL68-324059)</f>
        <v>11998.275603870592</v>
      </c>
      <c r="AO68" s="24"/>
    </row>
    <row r="69" spans="1:41" x14ac:dyDescent="0.25">
      <c r="A69" s="9">
        <v>67</v>
      </c>
      <c r="B69" s="10">
        <v>24383.226001397899</v>
      </c>
      <c r="C69" s="11">
        <v>3.1780635949336902</v>
      </c>
      <c r="D69" s="14">
        <f t="shared" si="10"/>
        <v>24362.959601397899</v>
      </c>
      <c r="E69" s="22">
        <f t="shared" si="11"/>
        <v>67.676767736880606</v>
      </c>
      <c r="F69" s="13">
        <v>60386.921400497296</v>
      </c>
      <c r="G69" s="13">
        <v>2.92755126953125</v>
      </c>
      <c r="H69" s="20">
        <f>$D$101-1*(F69-36023)</f>
        <v>11635.078575562802</v>
      </c>
      <c r="I69" s="24">
        <f t="shared" si="12"/>
        <v>32.3214241287411</v>
      </c>
      <c r="J69" s="11">
        <v>96391.955132593605</v>
      </c>
      <c r="K69" s="11">
        <v>3.17840576171875</v>
      </c>
      <c r="L69" s="14">
        <f>$H$101+1*(J69-72028.99)</f>
        <v>24362.003333494191</v>
      </c>
      <c r="M69" s="22">
        <f t="shared" si="13"/>
        <v>67.675909088287895</v>
      </c>
      <c r="N69" s="13">
        <v>132395.33643969399</v>
      </c>
      <c r="O69" s="13">
        <v>2.92510986328125</v>
      </c>
      <c r="P69" s="12">
        <f>$L$101-1*(N69-108032)</f>
        <v>11634.707268462596</v>
      </c>
      <c r="Q69" s="24">
        <f t="shared" si="14"/>
        <v>32.320726040836703</v>
      </c>
      <c r="R69" s="10">
        <v>168400.716158789</v>
      </c>
      <c r="S69" s="11">
        <v>3.1796387951782901</v>
      </c>
      <c r="T69" s="14">
        <f>$P$101+1*(R69-144037.75)</f>
        <v>24361.633052589597</v>
      </c>
      <c r="U69" s="22">
        <f t="shared" si="15"/>
        <v>67.675576594755498</v>
      </c>
      <c r="V69" s="13">
        <v>204404.10746688899</v>
      </c>
      <c r="W69" s="13">
        <v>2.9229736328125</v>
      </c>
      <c r="X69" s="12">
        <f>$T$101-1*(V69-180041)</f>
        <v>11634.565960362605</v>
      </c>
      <c r="Y69" s="24">
        <f t="shared" si="16"/>
        <v>32.32046036619802</v>
      </c>
      <c r="Z69" s="10">
        <v>240409.506192984</v>
      </c>
      <c r="AA69" s="11">
        <v>3.1796634558474</v>
      </c>
      <c r="AB69" s="14">
        <f>$X$101+1*(Z69-216046.5)</f>
        <v>24361.531778684606</v>
      </c>
      <c r="AC69" s="22">
        <f t="shared" si="17"/>
        <v>67.675485654717335</v>
      </c>
      <c r="AD69" s="13">
        <v>276412.93350208399</v>
      </c>
      <c r="AE69" s="13">
        <v>2.92449951171875</v>
      </c>
      <c r="AF69" s="12">
        <f>$AB$101-1*(AD69-252049.97)</f>
        <v>11634.608651262613</v>
      </c>
      <c r="AG69" s="24">
        <f t="shared" si="18"/>
        <v>32.320540629965926</v>
      </c>
      <c r="AH69" s="10">
        <v>312418.51923117897</v>
      </c>
      <c r="AI69" s="11">
        <v>3.1805666528565801</v>
      </c>
      <c r="AJ69" s="14">
        <f>$AF$101+1*(AH69-288055.5)</f>
        <v>24361.587507779557</v>
      </c>
      <c r="AK69" s="22">
        <f t="shared" si="19"/>
        <v>0.97863589318664002</v>
      </c>
      <c r="AL69" s="13">
        <v>348421.97854027897</v>
      </c>
      <c r="AM69" s="13">
        <v>2.92388916015625</v>
      </c>
      <c r="AN69" s="14">
        <f>$AJ$101-1*(AL69-324059)</f>
        <v>11634.649342162615</v>
      </c>
      <c r="AO69" s="24"/>
    </row>
    <row r="70" spans="1:41" x14ac:dyDescent="0.25">
      <c r="A70" s="9">
        <v>68</v>
      </c>
      <c r="B70" s="10">
        <v>24746.852263106099</v>
      </c>
      <c r="C70" s="11">
        <v>3.1787109375</v>
      </c>
      <c r="D70" s="14">
        <f t="shared" si="10"/>
        <v>24726.585863106098</v>
      </c>
      <c r="E70" s="22">
        <f t="shared" si="11"/>
        <v>68.686868745103098</v>
      </c>
      <c r="F70" s="13">
        <v>60750.547662205499</v>
      </c>
      <c r="G70" s="13">
        <v>2.92633056640625</v>
      </c>
      <c r="H70" s="20">
        <f>$D$101-1*(F70-36023)</f>
        <v>11271.452313854599</v>
      </c>
      <c r="I70" s="24">
        <f t="shared" si="12"/>
        <v>31.311296130662587</v>
      </c>
      <c r="J70" s="11">
        <v>96755.5813943018</v>
      </c>
      <c r="K70" s="11">
        <v>3.1787849195072702</v>
      </c>
      <c r="L70" s="14">
        <f>$H$101+1*(J70-72028.99)</f>
        <v>24725.629595202387</v>
      </c>
      <c r="M70" s="22">
        <f t="shared" si="13"/>
        <v>68.686036929278899</v>
      </c>
      <c r="N70" s="13">
        <v>132758.96270140199</v>
      </c>
      <c r="O70" s="13">
        <v>2.92388916015625</v>
      </c>
      <c r="P70" s="12">
        <f>$L$101-1*(N70-108032)</f>
        <v>11271.08100675459</v>
      </c>
      <c r="Q70" s="24">
        <f t="shared" si="14"/>
        <v>31.310587623536325</v>
      </c>
      <c r="R70" s="10">
        <v>168764.34242049701</v>
      </c>
      <c r="S70" s="11">
        <v>3.1806159741947702</v>
      </c>
      <c r="T70" s="14">
        <f>$P$101+1*(R70-144037.75)</f>
        <v>24725.259314297604</v>
      </c>
      <c r="U70" s="22">
        <f t="shared" si="15"/>
        <v>68.685714826168876</v>
      </c>
      <c r="V70" s="13">
        <v>204767.733728597</v>
      </c>
      <c r="W70" s="13">
        <v>2.92144775390625</v>
      </c>
      <c r="X70" s="12">
        <f>$T$101-1*(V70-180041)</f>
        <v>11270.939698654598</v>
      </c>
      <c r="Y70" s="24">
        <f t="shared" si="16"/>
        <v>31.310317983604481</v>
      </c>
      <c r="Z70" s="10">
        <v>240773.13245469201</v>
      </c>
      <c r="AA70" s="11">
        <v>3.1812047476719898</v>
      </c>
      <c r="AB70" s="14">
        <f>$X$101+1*(Z70-216046.5)</f>
        <v>24725.158040392613</v>
      </c>
      <c r="AC70" s="22">
        <f t="shared" si="17"/>
        <v>68.685626728006923</v>
      </c>
      <c r="AD70" s="13">
        <v>276776.55976379197</v>
      </c>
      <c r="AE70" s="13">
        <v>2.9229736328125</v>
      </c>
      <c r="AF70" s="12">
        <f>$AB$101-1*(AD70-252049.97)</f>
        <v>11270.982389554636</v>
      </c>
      <c r="AG70" s="24">
        <f t="shared" si="18"/>
        <v>31.310399445339154</v>
      </c>
      <c r="AH70" s="10">
        <v>312782.14549288701</v>
      </c>
      <c r="AI70" s="11">
        <v>3.18219425702324</v>
      </c>
      <c r="AJ70" s="14">
        <f>$AF$101+1*(AH70-288055.5)</f>
        <v>24725.213769487593</v>
      </c>
      <c r="AK70" s="22">
        <f t="shared" si="19"/>
        <v>0.97913669446868923</v>
      </c>
      <c r="AL70" s="13">
        <v>348785.60480198701</v>
      </c>
      <c r="AM70" s="13">
        <v>2.92236328125</v>
      </c>
      <c r="AN70" s="14">
        <f>$AJ$101-1*(AL70-324059)</f>
        <v>11271.023080454579</v>
      </c>
      <c r="AO70" s="24"/>
    </row>
    <row r="71" spans="1:41" x14ac:dyDescent="0.25">
      <c r="A71" s="9">
        <v>69</v>
      </c>
      <c r="B71" s="10">
        <v>25110.478524814302</v>
      </c>
      <c r="C71" s="11">
        <v>3.17921031605113</v>
      </c>
      <c r="D71" s="14">
        <f t="shared" si="10"/>
        <v>25090.212124814301</v>
      </c>
      <c r="E71" s="22">
        <f t="shared" si="11"/>
        <v>69.696969753325604</v>
      </c>
      <c r="F71" s="13">
        <v>61114.173923913702</v>
      </c>
      <c r="G71" s="13">
        <v>2.92510986328125</v>
      </c>
      <c r="H71" s="20">
        <f>$D$101-1*(F71-36023)</f>
        <v>10907.826052146396</v>
      </c>
      <c r="I71" s="24">
        <f t="shared" si="12"/>
        <v>30.301168132584078</v>
      </c>
      <c r="J71" s="11">
        <v>97119.207656009996</v>
      </c>
      <c r="K71" s="11">
        <v>3.1804125236740401</v>
      </c>
      <c r="L71" s="14">
        <f>$H$101+1*(J71-72028.99)</f>
        <v>25089.255856910582</v>
      </c>
      <c r="M71" s="22">
        <f t="shared" si="13"/>
        <v>69.696164770269888</v>
      </c>
      <c r="N71" s="13">
        <v>133122.58896311</v>
      </c>
      <c r="O71" s="13">
        <v>2.92266845703125</v>
      </c>
      <c r="P71" s="12">
        <f>$L$101-1*(N71-108032)</f>
        <v>10907.454745046583</v>
      </c>
      <c r="Q71" s="24">
        <f t="shared" si="14"/>
        <v>30.300449206235943</v>
      </c>
      <c r="R71" s="10">
        <v>169127.96868220501</v>
      </c>
      <c r="S71" s="11">
        <v>3.18189216382609</v>
      </c>
      <c r="T71" s="14">
        <f>$P$101+1*(R71-144037.75)</f>
        <v>25088.88557600561</v>
      </c>
      <c r="U71" s="22">
        <f t="shared" si="15"/>
        <v>69.695853057582269</v>
      </c>
      <c r="V71" s="13">
        <v>205131.35999030501</v>
      </c>
      <c r="W71" s="13">
        <v>2.919921875</v>
      </c>
      <c r="X71" s="12">
        <f>$T$101-1*(V71-180041)</f>
        <v>10907.313436946592</v>
      </c>
      <c r="Y71" s="24">
        <f t="shared" si="16"/>
        <v>30.300175601010938</v>
      </c>
      <c r="Z71" s="10">
        <v>241136.75871640001</v>
      </c>
      <c r="AA71" s="11">
        <v>3.1823083126184399</v>
      </c>
      <c r="AB71" s="14">
        <f>$X$101+1*(Z71-216046.5)</f>
        <v>25088.784302100619</v>
      </c>
      <c r="AC71" s="22">
        <f t="shared" si="17"/>
        <v>69.695767801296498</v>
      </c>
      <c r="AD71" s="13">
        <v>277140.18602550001</v>
      </c>
      <c r="AE71" s="13">
        <v>2.92144775390625</v>
      </c>
      <c r="AF71" s="12">
        <f>$AB$101-1*(AD71-252049.97)</f>
        <v>10907.3561278466</v>
      </c>
      <c r="AG71" s="24">
        <f t="shared" si="18"/>
        <v>30.300258260712219</v>
      </c>
      <c r="AH71" s="10">
        <v>313145.77175459499</v>
      </c>
      <c r="AI71" s="11">
        <v>3.1829833984375</v>
      </c>
      <c r="AJ71" s="14">
        <f>$AF$101+1*(AH71-288055.5)</f>
        <v>25088.84003119557</v>
      </c>
      <c r="AK71" s="22">
        <f t="shared" si="19"/>
        <v>0.97937950721153844</v>
      </c>
      <c r="AL71" s="13">
        <v>349149.23106369498</v>
      </c>
      <c r="AM71" s="13">
        <v>2.92083740234375</v>
      </c>
      <c r="AN71" s="14">
        <f>$AJ$101-1*(AL71-324059)</f>
        <v>10907.396818746602</v>
      </c>
      <c r="AO71" s="24"/>
    </row>
    <row r="72" spans="1:41" x14ac:dyDescent="0.25">
      <c r="A72" s="9">
        <v>70</v>
      </c>
      <c r="B72" s="10">
        <v>25474.104786522501</v>
      </c>
      <c r="C72" s="11">
        <v>3.1807978466303601</v>
      </c>
      <c r="D72" s="14">
        <f t="shared" si="10"/>
        <v>25453.838386522501</v>
      </c>
      <c r="E72" s="22">
        <f t="shared" si="11"/>
        <v>70.70707076154811</v>
      </c>
      <c r="F72" s="13">
        <v>61477.800185621898</v>
      </c>
      <c r="G72" s="13">
        <v>2.9241943359375</v>
      </c>
      <c r="H72" s="20">
        <f>$D$101-1*(F72-36023)</f>
        <v>10544.199790438201</v>
      </c>
      <c r="I72" s="24">
        <f t="shared" si="12"/>
        <v>29.291040134505586</v>
      </c>
      <c r="J72" s="11">
        <v>97482.833917718206</v>
      </c>
      <c r="K72" s="11">
        <v>3.1814081981929698</v>
      </c>
      <c r="L72" s="14">
        <f>$H$101+1*(J72-72028.99)</f>
        <v>25452.882118618792</v>
      </c>
      <c r="M72" s="22">
        <f t="shared" si="13"/>
        <v>70.706292611260906</v>
      </c>
      <c r="N72" s="13">
        <v>133486.21522481801</v>
      </c>
      <c r="O72" s="13">
        <v>2.921142578125</v>
      </c>
      <c r="P72" s="12">
        <f>$L$101-1*(N72-108032)</f>
        <v>10543.828483338577</v>
      </c>
      <c r="Q72" s="24">
        <f t="shared" si="14"/>
        <v>29.290310788935557</v>
      </c>
      <c r="R72" s="10">
        <v>169491.59494391299</v>
      </c>
      <c r="S72" s="11">
        <v>3.18282618667088</v>
      </c>
      <c r="T72" s="14">
        <f>$P$101+1*(R72-144037.75)</f>
        <v>25452.511837713588</v>
      </c>
      <c r="U72" s="22">
        <f t="shared" si="15"/>
        <v>70.705991288995577</v>
      </c>
      <c r="V72" s="13">
        <v>205494.98625201301</v>
      </c>
      <c r="W72" s="13">
        <v>2.91839599609375</v>
      </c>
      <c r="X72" s="12">
        <f>$T$101-1*(V72-180041)</f>
        <v>10543.687175238585</v>
      </c>
      <c r="Y72" s="24">
        <f t="shared" si="16"/>
        <v>29.290033218417399</v>
      </c>
      <c r="Z72" s="10">
        <v>241500.38497810799</v>
      </c>
      <c r="AA72" s="11">
        <v>3.1833378955572198</v>
      </c>
      <c r="AB72" s="14">
        <f>$X$101+1*(Z72-216046.5)</f>
        <v>25452.410563808597</v>
      </c>
      <c r="AC72" s="22">
        <f t="shared" si="17"/>
        <v>70.705908874586001</v>
      </c>
      <c r="AD72" s="13">
        <v>277503.81228720798</v>
      </c>
      <c r="AE72" s="13">
        <v>2.919921875</v>
      </c>
      <c r="AF72" s="12">
        <f>$AB$101-1*(AD72-252049.97)</f>
        <v>10543.729866138623</v>
      </c>
      <c r="AG72" s="24">
        <f t="shared" si="18"/>
        <v>29.290117076085448</v>
      </c>
      <c r="AH72" s="10">
        <v>313509.39801630302</v>
      </c>
      <c r="AI72" s="11">
        <v>3.1842041015625</v>
      </c>
      <c r="AJ72" s="14">
        <f>$AF$101+1*(AH72-288055.5)</f>
        <v>25452.466292903606</v>
      </c>
      <c r="AK72" s="22">
        <f t="shared" si="19"/>
        <v>0.97975510817307687</v>
      </c>
      <c r="AL72" s="13">
        <v>349512.85732540302</v>
      </c>
      <c r="AM72" s="13">
        <v>2.9193115234375</v>
      </c>
      <c r="AN72" s="14">
        <f>$AJ$101-1*(AL72-324059)</f>
        <v>10543.770557038566</v>
      </c>
      <c r="AO72" s="24"/>
    </row>
    <row r="73" spans="1:41" x14ac:dyDescent="0.25">
      <c r="A73" s="9">
        <v>71</v>
      </c>
      <c r="B73" s="10">
        <v>25837.7310482307</v>
      </c>
      <c r="C73" s="11">
        <v>3.18131572068339</v>
      </c>
      <c r="D73" s="14">
        <f t="shared" si="10"/>
        <v>25817.4646482307</v>
      </c>
      <c r="E73" s="22">
        <f t="shared" si="11"/>
        <v>71.717171769770601</v>
      </c>
      <c r="F73" s="13">
        <v>61841.426447329999</v>
      </c>
      <c r="G73" s="13">
        <v>2.9229736328125</v>
      </c>
      <c r="H73" s="20">
        <f>$D$101-1*(F73-36023)</f>
        <v>10180.573528730099</v>
      </c>
      <c r="I73" s="24">
        <f t="shared" si="12"/>
        <v>28.280912136427354</v>
      </c>
      <c r="J73" s="11">
        <v>97846.460179426402</v>
      </c>
      <c r="K73" s="11">
        <v>3.18190449416046</v>
      </c>
      <c r="L73" s="14">
        <f>$H$101+1*(J73-72028.99)</f>
        <v>25816.508380326988</v>
      </c>
      <c r="M73" s="22">
        <f t="shared" si="13"/>
        <v>71.71642045225191</v>
      </c>
      <c r="N73" s="13">
        <v>133849.84148652601</v>
      </c>
      <c r="O73" s="13">
        <v>2.91961669921875</v>
      </c>
      <c r="P73" s="12">
        <f>$L$101-1*(N73-108032)</f>
        <v>10180.20222163057</v>
      </c>
      <c r="Q73" s="24">
        <f t="shared" si="14"/>
        <v>28.280172371635174</v>
      </c>
      <c r="R73" s="10">
        <v>169855.22120562199</v>
      </c>
      <c r="S73" s="11">
        <v>3.1838773476959199</v>
      </c>
      <c r="T73" s="14">
        <f>$P$101+1*(R73-144037.75)</f>
        <v>25816.138099422584</v>
      </c>
      <c r="U73" s="22">
        <f t="shared" si="15"/>
        <v>71.716129520411712</v>
      </c>
      <c r="V73" s="13">
        <v>205858.61251372201</v>
      </c>
      <c r="W73" s="13">
        <v>2.91656494140625</v>
      </c>
      <c r="X73" s="12">
        <f>$T$101-1*(V73-180041)</f>
        <v>10180.060913529589</v>
      </c>
      <c r="Y73" s="24">
        <f t="shared" si="16"/>
        <v>28.27989083582111</v>
      </c>
      <c r="Z73" s="10">
        <v>241864.01123981699</v>
      </c>
      <c r="AA73" s="11">
        <v>3.1842472577337202</v>
      </c>
      <c r="AB73" s="14">
        <f>$X$101+1*(Z73-216046.5)</f>
        <v>25816.036825517593</v>
      </c>
      <c r="AC73" s="22">
        <f t="shared" si="17"/>
        <v>71.716049947878332</v>
      </c>
      <c r="AD73" s="13">
        <v>277867.43854891701</v>
      </c>
      <c r="AE73" s="13">
        <v>2.9180908203125</v>
      </c>
      <c r="AF73" s="12">
        <f>$AB$101-1*(AD73-252049.97)</f>
        <v>10180.103604429598</v>
      </c>
      <c r="AG73" s="24">
        <f t="shared" si="18"/>
        <v>28.279975891455766</v>
      </c>
      <c r="AH73" s="10">
        <v>313873.02427801199</v>
      </c>
      <c r="AI73" s="11">
        <v>3.1852614277542202</v>
      </c>
      <c r="AJ73" s="14">
        <f>$AF$101+1*(AH73-288055.5)</f>
        <v>25816.092554612573</v>
      </c>
      <c r="AK73" s="22">
        <f t="shared" si="19"/>
        <v>0.9800804393089908</v>
      </c>
      <c r="AL73" s="13">
        <v>349876.48358711199</v>
      </c>
      <c r="AM73" s="13">
        <v>2.91748046875</v>
      </c>
      <c r="AN73" s="14">
        <f>$AJ$101-1*(AL73-324059)</f>
        <v>10180.144295329599</v>
      </c>
      <c r="AO73" s="24"/>
    </row>
    <row r="74" spans="1:41" x14ac:dyDescent="0.25">
      <c r="A74" s="9">
        <v>72</v>
      </c>
      <c r="B74" s="10">
        <v>26201.3573099389</v>
      </c>
      <c r="C74" s="11">
        <v>3.1823175603693299</v>
      </c>
      <c r="D74" s="14">
        <f t="shared" si="10"/>
        <v>26181.090909938899</v>
      </c>
      <c r="E74" s="22">
        <f t="shared" si="11"/>
        <v>72.727272777993107</v>
      </c>
      <c r="F74" s="13">
        <v>62205.052709038202</v>
      </c>
      <c r="G74" s="13">
        <v>2.92144775390625</v>
      </c>
      <c r="H74" s="20">
        <f>$D$101-1*(F74-36023)</f>
        <v>9816.9472670218966</v>
      </c>
      <c r="I74" s="24">
        <f t="shared" si="12"/>
        <v>27.270784138348841</v>
      </c>
      <c r="J74" s="11">
        <v>98210.086441134597</v>
      </c>
      <c r="K74" s="11">
        <v>3.1835660067470499</v>
      </c>
      <c r="L74" s="14">
        <f>$H$101+1*(J74-72028.99)</f>
        <v>26180.134642035184</v>
      </c>
      <c r="M74" s="22">
        <f t="shared" si="13"/>
        <v>72.726548293242899</v>
      </c>
      <c r="N74" s="13">
        <v>134213.46774823501</v>
      </c>
      <c r="O74" s="13">
        <v>2.9180908203125</v>
      </c>
      <c r="P74" s="12">
        <f>$L$101-1*(N74-108032)</f>
        <v>9816.5759599215744</v>
      </c>
      <c r="Q74" s="24">
        <f t="shared" si="14"/>
        <v>27.270033954332039</v>
      </c>
      <c r="R74" s="10">
        <v>170218.84746732999</v>
      </c>
      <c r="S74" s="11">
        <v>3.1851473721591499</v>
      </c>
      <c r="T74" s="14">
        <f>$P$101+1*(R74-144037.75)</f>
        <v>26179.76436113059</v>
      </c>
      <c r="U74" s="22">
        <f t="shared" si="15"/>
        <v>72.726267751825105</v>
      </c>
      <c r="V74" s="13">
        <v>206222.23877543001</v>
      </c>
      <c r="W74" s="13">
        <v>2.9150390625</v>
      </c>
      <c r="X74" s="12">
        <f>$T$101-1*(V74-180041)</f>
        <v>9816.4346518215825</v>
      </c>
      <c r="Y74" s="24">
        <f t="shared" si="16"/>
        <v>27.269748453227571</v>
      </c>
      <c r="Z74" s="10">
        <v>242227.63750152499</v>
      </c>
      <c r="AA74" s="11">
        <v>3.18603515625</v>
      </c>
      <c r="AB74" s="14">
        <f>$X$101+1*(Z74-216046.5)</f>
        <v>26179.663087225599</v>
      </c>
      <c r="AC74" s="22">
        <f t="shared" si="17"/>
        <v>72.726191021167907</v>
      </c>
      <c r="AD74" s="13">
        <v>278231.06481062499</v>
      </c>
      <c r="AE74" s="13">
        <v>2.916259765625</v>
      </c>
      <c r="AF74" s="12">
        <f>$AB$101-1*(AD74-252049.97)</f>
        <v>9816.4773427216205</v>
      </c>
      <c r="AG74" s="24">
        <f t="shared" si="18"/>
        <v>27.269834706828995</v>
      </c>
      <c r="AH74" s="10">
        <v>314236.65053972002</v>
      </c>
      <c r="AI74" s="11">
        <v>3.1869784268466299</v>
      </c>
      <c r="AJ74" s="14">
        <f>$AF$101+1*(AH74-288055.5)</f>
        <v>26179.718816320608</v>
      </c>
      <c r="AK74" s="22">
        <f t="shared" si="19"/>
        <v>0.98060874672204001</v>
      </c>
      <c r="AL74" s="13">
        <v>350240.10984882002</v>
      </c>
      <c r="AM74" s="13">
        <v>2.9156771573153799</v>
      </c>
      <c r="AN74" s="14">
        <f>$AJ$101-1*(AL74-324059)</f>
        <v>9816.5180336215635</v>
      </c>
      <c r="AO74" s="24"/>
    </row>
    <row r="75" spans="1:41" x14ac:dyDescent="0.25">
      <c r="A75" s="9">
        <v>73</v>
      </c>
      <c r="B75" s="10">
        <v>26564.983571647001</v>
      </c>
      <c r="C75" s="11">
        <v>3.1829833984375</v>
      </c>
      <c r="D75" s="14">
        <f t="shared" si="10"/>
        <v>26544.717171647</v>
      </c>
      <c r="E75" s="22">
        <f t="shared" si="11"/>
        <v>73.737373786215315</v>
      </c>
      <c r="F75" s="13">
        <v>62568.678970746398</v>
      </c>
      <c r="G75" s="13">
        <v>2.92022705078125</v>
      </c>
      <c r="H75" s="20">
        <f>$D$101-1*(F75-36023)</f>
        <v>9453.3210053137009</v>
      </c>
      <c r="I75" s="24">
        <f t="shared" si="12"/>
        <v>26.260656140270349</v>
      </c>
      <c r="J75" s="11">
        <v>98573.712702842793</v>
      </c>
      <c r="K75" s="11">
        <v>3.18472814078293</v>
      </c>
      <c r="L75" s="14">
        <f>$H$101+1*(J75-72028.99)</f>
        <v>26543.760903743379</v>
      </c>
      <c r="M75" s="22">
        <f t="shared" si="13"/>
        <v>73.736676134233889</v>
      </c>
      <c r="N75" s="13">
        <v>134577.09400994299</v>
      </c>
      <c r="O75" s="13">
        <v>2.91656494140625</v>
      </c>
      <c r="P75" s="12">
        <f>$L$101-1*(N75-108032)</f>
        <v>9452.949698213597</v>
      </c>
      <c r="Q75" s="24">
        <f t="shared" si="14"/>
        <v>26.259895537031742</v>
      </c>
      <c r="R75" s="10">
        <v>170582.473729038</v>
      </c>
      <c r="S75" s="11">
        <v>3.1868181324966902</v>
      </c>
      <c r="T75" s="14">
        <f>$P$101+1*(R75-144037.75)</f>
        <v>26543.390622838597</v>
      </c>
      <c r="U75" s="22">
        <f t="shared" si="15"/>
        <v>73.736405983238484</v>
      </c>
      <c r="V75" s="13">
        <v>206585.86503713799</v>
      </c>
      <c r="W75" s="13">
        <v>2.9132080078125</v>
      </c>
      <c r="X75" s="12">
        <f>$T$101-1*(V75-180041)</f>
        <v>9452.8083901136051</v>
      </c>
      <c r="Y75" s="24">
        <f t="shared" si="16"/>
        <v>26.259606070634113</v>
      </c>
      <c r="Z75" s="10">
        <v>242591.263763233</v>
      </c>
      <c r="AA75" s="11">
        <v>3.1870369959359302</v>
      </c>
      <c r="AB75" s="14">
        <f>$X$101+1*(Z75-216046.5)</f>
        <v>26543.289348933606</v>
      </c>
      <c r="AC75" s="22">
        <f t="shared" si="17"/>
        <v>73.736332094457495</v>
      </c>
      <c r="AD75" s="13">
        <v>278594.69107233302</v>
      </c>
      <c r="AE75" s="13">
        <v>2.9144287109375</v>
      </c>
      <c r="AF75" s="12">
        <f>$AB$101-1*(AD75-252049.97)</f>
        <v>9452.8510810135849</v>
      </c>
      <c r="AG75" s="24">
        <f t="shared" si="18"/>
        <v>26.25969352220206</v>
      </c>
      <c r="AH75" s="10">
        <v>314600.276801428</v>
      </c>
      <c r="AI75" s="11">
        <v>3.18799876203457</v>
      </c>
      <c r="AJ75" s="14">
        <f>$AF$101+1*(AH75-288055.5)</f>
        <v>26543.345078028586</v>
      </c>
      <c r="AK75" s="22">
        <f t="shared" si="19"/>
        <v>0.98092269601063697</v>
      </c>
      <c r="AL75" s="13">
        <v>350603.736110528</v>
      </c>
      <c r="AM75" s="13">
        <v>2.913818359375</v>
      </c>
      <c r="AN75" s="14">
        <f>$AJ$101-1*(AL75-324059)</f>
        <v>9452.8917719135861</v>
      </c>
      <c r="AO75" s="24"/>
    </row>
    <row r="76" spans="1:41" x14ac:dyDescent="0.25">
      <c r="A76" s="9">
        <v>74</v>
      </c>
      <c r="B76" s="10">
        <v>26928.6098333552</v>
      </c>
      <c r="C76" s="11">
        <v>3.1839944858743698</v>
      </c>
      <c r="D76" s="14">
        <f t="shared" si="10"/>
        <v>26908.3434333552</v>
      </c>
      <c r="E76" s="22">
        <f t="shared" si="11"/>
        <v>74.747474794437821</v>
      </c>
      <c r="F76" s="13">
        <v>62932.305232454601</v>
      </c>
      <c r="G76" s="13">
        <v>2.91900634765625</v>
      </c>
      <c r="H76" s="20">
        <f>$D$101-1*(F76-36023)</f>
        <v>9089.6947436054979</v>
      </c>
      <c r="I76" s="24">
        <f t="shared" si="12"/>
        <v>25.25052814219184</v>
      </c>
      <c r="J76" s="11">
        <v>98937.338964551003</v>
      </c>
      <c r="K76" s="11">
        <v>3.1853292445945902</v>
      </c>
      <c r="L76" s="14">
        <f>$H$101+1*(J76-72028.99)</f>
        <v>26907.38716545159</v>
      </c>
      <c r="M76" s="22">
        <f t="shared" si="13"/>
        <v>74.746803975224921</v>
      </c>
      <c r="N76" s="13">
        <v>134940.72027165099</v>
      </c>
      <c r="O76" s="13">
        <v>2.9150390625</v>
      </c>
      <c r="P76" s="12">
        <f>$L$101-1*(N76-108032)</f>
        <v>9089.3234365055905</v>
      </c>
      <c r="Q76" s="24">
        <f t="shared" si="14"/>
        <v>25.24975711973136</v>
      </c>
      <c r="R76" s="10">
        <v>170946.09999074601</v>
      </c>
      <c r="S76" s="11">
        <v>3.1877614030933001</v>
      </c>
      <c r="T76" s="14">
        <f>$P$101+1*(R76-144037.75)</f>
        <v>26907.016884546603</v>
      </c>
      <c r="U76" s="22">
        <f t="shared" si="15"/>
        <v>74.746544214651877</v>
      </c>
      <c r="V76" s="13">
        <v>206949.491298846</v>
      </c>
      <c r="W76" s="13">
        <v>2.911376953125</v>
      </c>
      <c r="X76" s="12">
        <f>$T$101-1*(V76-180041)</f>
        <v>9089.1821284055986</v>
      </c>
      <c r="Y76" s="24">
        <f t="shared" si="16"/>
        <v>25.249463688040574</v>
      </c>
      <c r="Z76" s="10">
        <v>242954.89002494101</v>
      </c>
      <c r="AA76" s="11">
        <v>3.1882761945627598</v>
      </c>
      <c r="AB76" s="14">
        <f>$X$101+1*(Z76-216046.5)</f>
        <v>26906.915610641612</v>
      </c>
      <c r="AC76" s="22">
        <f t="shared" si="17"/>
        <v>74.74647316774707</v>
      </c>
      <c r="AD76" s="13">
        <v>278958.317334041</v>
      </c>
      <c r="AE76" s="13">
        <v>2.91259765625</v>
      </c>
      <c r="AF76" s="12">
        <f>$AB$101-1*(AD76-252049.97)</f>
        <v>9089.2248193056075</v>
      </c>
      <c r="AG76" s="24">
        <f t="shared" si="18"/>
        <v>25.249552337575288</v>
      </c>
      <c r="AH76" s="10">
        <v>314963.90306313598</v>
      </c>
      <c r="AI76" s="11">
        <v>3.1894876499365798</v>
      </c>
      <c r="AJ76" s="14">
        <f>$AF$101+1*(AH76-288055.5)</f>
        <v>26906.971339736563</v>
      </c>
      <c r="AK76" s="22">
        <f t="shared" si="19"/>
        <v>0.98138081536510147</v>
      </c>
      <c r="AL76" s="13">
        <v>350967.36237223598</v>
      </c>
      <c r="AM76" s="13">
        <v>2.9119873046875</v>
      </c>
      <c r="AN76" s="14">
        <f>$AJ$101-1*(AL76-324059)</f>
        <v>9089.2655102056087</v>
      </c>
      <c r="AO76" s="24"/>
    </row>
    <row r="77" spans="1:41" x14ac:dyDescent="0.25">
      <c r="A77" s="9">
        <v>75</v>
      </c>
      <c r="B77" s="10">
        <v>27292.236095063399</v>
      </c>
      <c r="C77" s="11">
        <v>3.18511962890625</v>
      </c>
      <c r="D77" s="14">
        <f t="shared" si="10"/>
        <v>27271.969695063399</v>
      </c>
      <c r="E77" s="22">
        <f t="shared" si="11"/>
        <v>75.757575802660313</v>
      </c>
      <c r="F77" s="13">
        <v>63295.931494162804</v>
      </c>
      <c r="G77" s="13">
        <v>2.91748046875</v>
      </c>
      <c r="H77" s="20">
        <f>$D$101-1*(F77-36023)</f>
        <v>8726.068481897295</v>
      </c>
      <c r="I77" s="24">
        <f t="shared" si="12"/>
        <v>24.240400144113327</v>
      </c>
      <c r="J77" s="11">
        <v>99300.965226259199</v>
      </c>
      <c r="K77" s="11">
        <v>3.1869414358429098</v>
      </c>
      <c r="L77" s="14">
        <f>$H$101+1*(J77-72028.99)</f>
        <v>27271.013427159785</v>
      </c>
      <c r="M77" s="22">
        <f t="shared" si="13"/>
        <v>75.756931816215911</v>
      </c>
      <c r="N77" s="13">
        <v>135304.346533359</v>
      </c>
      <c r="O77" s="13">
        <v>2.9132080078125</v>
      </c>
      <c r="P77" s="12">
        <f>$L$101-1*(N77-108032)</f>
        <v>8725.697174797584</v>
      </c>
      <c r="Q77" s="24">
        <f t="shared" si="14"/>
        <v>24.239618702430977</v>
      </c>
      <c r="R77" s="10">
        <v>171309.72625245401</v>
      </c>
      <c r="S77" s="11">
        <v>3.1890776663117402</v>
      </c>
      <c r="T77" s="14">
        <f>$P$101+1*(R77-144037.75)</f>
        <v>27270.64314625461</v>
      </c>
      <c r="U77" s="22">
        <f t="shared" si="15"/>
        <v>75.756682446065255</v>
      </c>
      <c r="V77" s="13">
        <v>207313.117560554</v>
      </c>
      <c r="W77" s="13">
        <v>2.9095458984375</v>
      </c>
      <c r="X77" s="12">
        <f>$T$101-1*(V77-180041)</f>
        <v>8725.5558666975921</v>
      </c>
      <c r="Y77" s="24">
        <f t="shared" si="16"/>
        <v>24.239321305447035</v>
      </c>
      <c r="Z77" s="10">
        <v>243318.51628664901</v>
      </c>
      <c r="AA77" s="11">
        <v>3.1899931936552002</v>
      </c>
      <c r="AB77" s="14">
        <f>$X$101+1*(Z77-216046.5)</f>
        <v>27270.541872349619</v>
      </c>
      <c r="AC77" s="22">
        <f t="shared" si="17"/>
        <v>75.756614241036644</v>
      </c>
      <c r="AD77" s="13">
        <v>279321.94359574898</v>
      </c>
      <c r="AE77" s="13">
        <v>2.91046142578125</v>
      </c>
      <c r="AF77" s="12">
        <f>$AB$101-1*(AD77-252049.97)</f>
        <v>8725.5985575976301</v>
      </c>
      <c r="AG77" s="24">
        <f t="shared" si="18"/>
        <v>24.239411152948517</v>
      </c>
      <c r="AH77" s="10">
        <v>315327.52932484401</v>
      </c>
      <c r="AI77" s="11">
        <v>3.19090872099923</v>
      </c>
      <c r="AJ77" s="14">
        <f>$AF$101+1*(AH77-288055.5)</f>
        <v>27270.597601444599</v>
      </c>
      <c r="AK77" s="22">
        <f t="shared" si="19"/>
        <v>0.98181806799976301</v>
      </c>
      <c r="AL77" s="13">
        <v>351330.98863394401</v>
      </c>
      <c r="AM77" s="13">
        <v>2.90985107421875</v>
      </c>
      <c r="AN77" s="14">
        <f>$AJ$101-1*(AL77-324059)</f>
        <v>8725.6392484975731</v>
      </c>
      <c r="AO77" s="24"/>
    </row>
    <row r="78" spans="1:41" x14ac:dyDescent="0.25">
      <c r="A78" s="9">
        <v>76</v>
      </c>
      <c r="B78" s="10">
        <v>27655.862356771599</v>
      </c>
      <c r="C78" s="11">
        <v>3.18634033203125</v>
      </c>
      <c r="D78" s="14">
        <f t="shared" si="10"/>
        <v>27635.595956771598</v>
      </c>
      <c r="E78" s="22">
        <f t="shared" si="11"/>
        <v>76.767676810882818</v>
      </c>
      <c r="F78" s="13">
        <v>63659.557755870999</v>
      </c>
      <c r="G78" s="13">
        <v>2.91595458984375</v>
      </c>
      <c r="H78" s="20">
        <f>$D$101-1*(F78-36023)</f>
        <v>8362.4422201890993</v>
      </c>
      <c r="I78" s="24">
        <f t="shared" si="12"/>
        <v>23.230272146034835</v>
      </c>
      <c r="J78" s="11">
        <v>99664.591487967395</v>
      </c>
      <c r="K78" s="11">
        <v>3.1879895142833501</v>
      </c>
      <c r="L78" s="14">
        <f>$H$101+1*(J78-72028.99)</f>
        <v>27634.639688867981</v>
      </c>
      <c r="M78" s="22">
        <f t="shared" si="13"/>
        <v>76.7670596572069</v>
      </c>
      <c r="N78" s="13">
        <v>135667.97279506701</v>
      </c>
      <c r="O78" s="13">
        <v>2.911376953125</v>
      </c>
      <c r="P78" s="12">
        <f>$L$101-1*(N78-108032)</f>
        <v>8362.0709130895775</v>
      </c>
      <c r="Q78" s="24">
        <f t="shared" si="14"/>
        <v>23.229480285130592</v>
      </c>
      <c r="R78" s="10">
        <v>171673.35251416301</v>
      </c>
      <c r="S78" s="11">
        <v>3.1902428829312299</v>
      </c>
      <c r="T78" s="14">
        <f>$P$101+1*(R78-144037.75)</f>
        <v>27634.269407963606</v>
      </c>
      <c r="U78" s="22">
        <f t="shared" si="15"/>
        <v>76.766820677481391</v>
      </c>
      <c r="V78" s="13">
        <v>207676.743822263</v>
      </c>
      <c r="W78" s="13">
        <v>2.90740966796875</v>
      </c>
      <c r="X78" s="12">
        <f>$T$101-1*(V78-180041)</f>
        <v>8361.9296049885961</v>
      </c>
      <c r="Y78" s="24">
        <f t="shared" si="16"/>
        <v>23.229178922850746</v>
      </c>
      <c r="Z78" s="10">
        <v>243682.14254835801</v>
      </c>
      <c r="AA78" s="11">
        <v>3.1907946654039798</v>
      </c>
      <c r="AB78" s="14">
        <f>$X$101+1*(Z78-216046.5)</f>
        <v>27634.168134058615</v>
      </c>
      <c r="AC78" s="22">
        <f t="shared" si="17"/>
        <v>76.766755314328989</v>
      </c>
      <c r="AD78" s="13">
        <v>279685.569857458</v>
      </c>
      <c r="AE78" s="13">
        <v>2.90863037109375</v>
      </c>
      <c r="AF78" s="12">
        <f>$AB$101-1*(AD78-252049.97)</f>
        <v>8361.972295888605</v>
      </c>
      <c r="AG78" s="24">
        <f t="shared" si="18"/>
        <v>23.229269968318835</v>
      </c>
      <c r="AH78" s="10">
        <v>315691.15558655298</v>
      </c>
      <c r="AI78" s="11">
        <v>3.1918920651833198</v>
      </c>
      <c r="AJ78" s="14">
        <f>$AF$101+1*(AH78-288055.5)</f>
        <v>27634.223863153566</v>
      </c>
      <c r="AK78" s="22">
        <f t="shared" si="19"/>
        <v>0.98212063544102146</v>
      </c>
      <c r="AL78" s="13">
        <v>351694.61489565298</v>
      </c>
      <c r="AM78" s="13">
        <v>2.90771484375</v>
      </c>
      <c r="AN78" s="14">
        <f>$AJ$101-1*(AL78-324059)</f>
        <v>8362.0129867886062</v>
      </c>
      <c r="AO78" s="24"/>
    </row>
    <row r="79" spans="1:41" x14ac:dyDescent="0.25">
      <c r="A79" s="9">
        <v>77</v>
      </c>
      <c r="B79" s="10">
        <v>28019.488618479802</v>
      </c>
      <c r="C79" s="11">
        <v>3.1871880425347299</v>
      </c>
      <c r="D79" s="14">
        <f t="shared" si="10"/>
        <v>27999.222218479801</v>
      </c>
      <c r="E79" s="22">
        <f t="shared" si="11"/>
        <v>77.777777819105324</v>
      </c>
      <c r="F79" s="13">
        <v>64023.184017579202</v>
      </c>
      <c r="G79" s="13">
        <v>2.9144287109375</v>
      </c>
      <c r="H79" s="20">
        <f>$D$101-1*(F79-36023)</f>
        <v>7998.8159584808964</v>
      </c>
      <c r="I79" s="24">
        <f t="shared" si="12"/>
        <v>22.220144147956326</v>
      </c>
      <c r="J79" s="11">
        <v>100028.217749676</v>
      </c>
      <c r="K79" s="11">
        <v>3.189697265625</v>
      </c>
      <c r="L79" s="14">
        <f>$H$101+1*(J79-72028.99)</f>
        <v>27998.265950576584</v>
      </c>
      <c r="M79" s="22">
        <f t="shared" si="13"/>
        <v>77.777187498199027</v>
      </c>
      <c r="N79" s="13">
        <v>136031.599056776</v>
      </c>
      <c r="O79" s="13">
        <v>2.9095458984375</v>
      </c>
      <c r="P79" s="12">
        <f>$L$101-1*(N79-108032)</f>
        <v>7998.4446513805815</v>
      </c>
      <c r="Q79" s="24">
        <f t="shared" si="14"/>
        <v>22.21934186782746</v>
      </c>
      <c r="R79" s="10">
        <v>172036.97877587099</v>
      </c>
      <c r="S79" s="11">
        <v>3.1912909613716001</v>
      </c>
      <c r="T79" s="14">
        <f>$P$101+1*(R79-144037.75)</f>
        <v>27997.895669671583</v>
      </c>
      <c r="U79" s="22">
        <f t="shared" si="15"/>
        <v>77.776958908894713</v>
      </c>
      <c r="V79" s="13">
        <v>208040.37008397101</v>
      </c>
      <c r="W79" s="13">
        <v>2.9052734375</v>
      </c>
      <c r="X79" s="12">
        <f>$T$101-1*(V79-180041)</f>
        <v>7998.3033432805896</v>
      </c>
      <c r="Y79" s="24">
        <f t="shared" si="16"/>
        <v>22.219036540257207</v>
      </c>
      <c r="Z79" s="10">
        <v>244045.76881006599</v>
      </c>
      <c r="AA79" s="11">
        <v>3.1927490234375</v>
      </c>
      <c r="AB79" s="14">
        <f>$X$101+1*(Z79-216046.5)</f>
        <v>27997.794395766592</v>
      </c>
      <c r="AC79" s="22">
        <f t="shared" si="17"/>
        <v>77.776896387618478</v>
      </c>
      <c r="AD79" s="13">
        <v>280049.19611916598</v>
      </c>
      <c r="AE79" s="13">
        <v>2.906494140625</v>
      </c>
      <c r="AF79" s="12">
        <f>$AB$101-1*(AD79-252049.97)</f>
        <v>7998.3460341806276</v>
      </c>
      <c r="AG79" s="24">
        <f t="shared" si="18"/>
        <v>22.219128783692064</v>
      </c>
      <c r="AH79" s="10">
        <v>316054.78184826102</v>
      </c>
      <c r="AI79" s="11">
        <v>3.1934271918403501</v>
      </c>
      <c r="AJ79" s="14">
        <f>$AF$101+1*(AH79-288055.5)</f>
        <v>27997.850124861601</v>
      </c>
      <c r="AK79" s="22">
        <f t="shared" si="19"/>
        <v>0.98259298210472312</v>
      </c>
      <c r="AL79" s="13">
        <v>352058.24115736102</v>
      </c>
      <c r="AM79" s="13">
        <v>2.90557861328125</v>
      </c>
      <c r="AN79" s="14">
        <f>$AJ$101-1*(AL79-324059)</f>
        <v>7998.3867250805706</v>
      </c>
      <c r="AO79" s="24"/>
    </row>
    <row r="80" spans="1:41" x14ac:dyDescent="0.25">
      <c r="A80" s="9">
        <v>78</v>
      </c>
      <c r="B80" s="10">
        <v>28383.114880188001</v>
      </c>
      <c r="C80" s="11">
        <v>3.1881251479640298</v>
      </c>
      <c r="D80" s="14">
        <f t="shared" si="10"/>
        <v>28362.848480188</v>
      </c>
      <c r="E80" s="22">
        <f t="shared" si="11"/>
        <v>78.787878827327816</v>
      </c>
      <c r="F80" s="13">
        <v>64386.810279287398</v>
      </c>
      <c r="G80" s="13">
        <v>2.91259765625</v>
      </c>
      <c r="H80" s="20">
        <f>$D$101-1*(F80-36023)</f>
        <v>7635.1896967727007</v>
      </c>
      <c r="I80" s="24">
        <f t="shared" si="12"/>
        <v>21.210016149877834</v>
      </c>
      <c r="J80" s="11">
        <v>100391.844011384</v>
      </c>
      <c r="K80" s="11">
        <v>3.19065903172348</v>
      </c>
      <c r="L80" s="14">
        <f>$H$101+1*(J80-72028.99)</f>
        <v>28361.892212284591</v>
      </c>
      <c r="M80" s="22">
        <f t="shared" si="13"/>
        <v>78.78731533918949</v>
      </c>
      <c r="N80" s="13">
        <v>136395.22531848401</v>
      </c>
      <c r="O80" s="13">
        <v>2.90771484375</v>
      </c>
      <c r="P80" s="12">
        <f>$L$101-1*(N80-108032)</f>
        <v>7634.818389672575</v>
      </c>
      <c r="Q80" s="24">
        <f t="shared" si="14"/>
        <v>21.209203450527077</v>
      </c>
      <c r="R80" s="10">
        <v>172400.60503757899</v>
      </c>
      <c r="S80" s="11">
        <v>3.1927490234375</v>
      </c>
      <c r="T80" s="14">
        <f>$P$101+1*(R80-144037.75)</f>
        <v>28361.52193137959</v>
      </c>
      <c r="U80" s="22">
        <f t="shared" si="15"/>
        <v>78.787097140308092</v>
      </c>
      <c r="V80" s="13">
        <v>208403.99634567901</v>
      </c>
      <c r="W80" s="13">
        <v>2.90313720703125</v>
      </c>
      <c r="X80" s="12">
        <f>$T$101-1*(V80-180041)</f>
        <v>7634.6770815725831</v>
      </c>
      <c r="Y80" s="24">
        <f t="shared" si="16"/>
        <v>21.208894157663668</v>
      </c>
      <c r="Z80" s="10">
        <v>244409.39507177399</v>
      </c>
      <c r="AA80" s="11">
        <v>3.1936183120265298</v>
      </c>
      <c r="AB80" s="14">
        <f>$X$101+1*(Z80-216046.5)</f>
        <v>28361.420657474599</v>
      </c>
      <c r="AC80" s="22">
        <f t="shared" si="17"/>
        <v>78.787037460908067</v>
      </c>
      <c r="AD80" s="13">
        <v>280412.82238087401</v>
      </c>
      <c r="AE80" s="13">
        <v>2.904052734375</v>
      </c>
      <c r="AF80" s="12">
        <f>$AB$101-1*(AD80-252049.97)</f>
        <v>7634.719772472592</v>
      </c>
      <c r="AG80" s="24">
        <f t="shared" si="18"/>
        <v>21.208987599065129</v>
      </c>
      <c r="AH80" s="10">
        <v>316418.40810996899</v>
      </c>
      <c r="AI80" s="11">
        <v>3.1952366684421798</v>
      </c>
      <c r="AJ80" s="14">
        <f>$AF$101+1*(AH80-288055.5)</f>
        <v>28361.476386569579</v>
      </c>
      <c r="AK80" s="22">
        <f t="shared" si="19"/>
        <v>0.98314974413605527</v>
      </c>
      <c r="AL80" s="13">
        <v>352421.86741906899</v>
      </c>
      <c r="AM80" s="13">
        <v>2.9031834457859298</v>
      </c>
      <c r="AN80" s="14">
        <f>$AJ$101-1*(AL80-324059)</f>
        <v>7634.7604633725932</v>
      </c>
      <c r="AO80" s="24"/>
    </row>
    <row r="81" spans="1:41" x14ac:dyDescent="0.25">
      <c r="A81" s="9">
        <v>79</v>
      </c>
      <c r="B81" s="10">
        <v>28746.7411418962</v>
      </c>
      <c r="C81" s="11">
        <v>3.18939208984375</v>
      </c>
      <c r="D81" s="14">
        <f t="shared" si="10"/>
        <v>28726.4747418962</v>
      </c>
      <c r="E81" s="22">
        <f t="shared" si="11"/>
        <v>79.797979835550308</v>
      </c>
      <c r="F81" s="13">
        <v>64750.436540995601</v>
      </c>
      <c r="G81" s="13">
        <v>2.91107177734375</v>
      </c>
      <c r="H81" s="20">
        <f>$D$101-1*(F81-36023)</f>
        <v>7271.5634350644978</v>
      </c>
      <c r="I81" s="24">
        <f t="shared" si="12"/>
        <v>20.199888151799321</v>
      </c>
      <c r="J81" s="11">
        <v>100755.470273092</v>
      </c>
      <c r="K81" s="11">
        <v>3.1918489090118598</v>
      </c>
      <c r="L81" s="14">
        <f>$H$101+1*(J81-72028.99)</f>
        <v>28725.518473992583</v>
      </c>
      <c r="M81" s="22">
        <f t="shared" si="13"/>
        <v>79.797443180179911</v>
      </c>
      <c r="N81" s="13">
        <v>136758.85158019199</v>
      </c>
      <c r="O81" s="13">
        <v>2.90557861328125</v>
      </c>
      <c r="P81" s="12">
        <f>$L$101-1*(N81-108032)</f>
        <v>7271.1921279645976</v>
      </c>
      <c r="Q81" s="24">
        <f t="shared" si="14"/>
        <v>20.199065033226777</v>
      </c>
      <c r="R81" s="10">
        <v>172764.231299287</v>
      </c>
      <c r="S81" s="11">
        <v>3.19366455078125</v>
      </c>
      <c r="T81" s="14">
        <f>$P$101+1*(R81-144037.75)</f>
        <v>28725.148193087596</v>
      </c>
      <c r="U81" s="22">
        <f t="shared" si="15"/>
        <v>79.797235371721484</v>
      </c>
      <c r="V81" s="13">
        <v>208767.62260738699</v>
      </c>
      <c r="W81" s="13">
        <v>2.9010009765625</v>
      </c>
      <c r="X81" s="12">
        <f>$T$101-1*(V81-180041)</f>
        <v>7271.0508198646057</v>
      </c>
      <c r="Y81" s="24">
        <f t="shared" si="16"/>
        <v>20.19875177507021</v>
      </c>
      <c r="Z81" s="10">
        <v>244773.021333482</v>
      </c>
      <c r="AA81" s="11">
        <v>3.19474037247479</v>
      </c>
      <c r="AB81" s="14">
        <f>$X$101+1*(Z81-216046.5)</f>
        <v>28725.046919182605</v>
      </c>
      <c r="AC81" s="22">
        <f t="shared" si="17"/>
        <v>79.797178534197641</v>
      </c>
      <c r="AD81" s="13">
        <v>280776.44864258199</v>
      </c>
      <c r="AE81" s="13">
        <v>2.90191650390625</v>
      </c>
      <c r="AF81" s="12">
        <f>$AB$101-1*(AD81-252049.97)</f>
        <v>7271.0935107646146</v>
      </c>
      <c r="AG81" s="24">
        <f t="shared" si="18"/>
        <v>20.198846414438357</v>
      </c>
      <c r="AH81" s="10">
        <v>316782.03437167697</v>
      </c>
      <c r="AI81" s="11">
        <v>3.1968766029433899</v>
      </c>
      <c r="AJ81" s="14">
        <f>$AF$101+1*(AH81-288055.5)</f>
        <v>28725.102648277556</v>
      </c>
      <c r="AK81" s="22">
        <f t="shared" si="19"/>
        <v>0.98365433936719693</v>
      </c>
      <c r="AL81" s="13">
        <v>352785.49368077703</v>
      </c>
      <c r="AM81" s="13">
        <v>2.9010009765625</v>
      </c>
      <c r="AN81" s="14">
        <f>$AJ$101-1*(AL81-324059)</f>
        <v>7271.1342016645576</v>
      </c>
      <c r="AO81" s="24"/>
    </row>
    <row r="82" spans="1:41" x14ac:dyDescent="0.25">
      <c r="A82" s="9">
        <v>80</v>
      </c>
      <c r="B82" s="10">
        <v>29110.367403604399</v>
      </c>
      <c r="C82" s="11">
        <v>3.1903076171875</v>
      </c>
      <c r="D82" s="14">
        <f t="shared" si="10"/>
        <v>29090.101003604399</v>
      </c>
      <c r="E82" s="22">
        <f t="shared" si="11"/>
        <v>80.808080843772814</v>
      </c>
      <c r="F82" s="13">
        <v>65114.062802703796</v>
      </c>
      <c r="G82" s="13">
        <v>2.90924072265625</v>
      </c>
      <c r="H82" s="20">
        <f>$D$101-1*(F82-36023)</f>
        <v>6907.9371733563021</v>
      </c>
      <c r="I82" s="24">
        <f t="shared" si="12"/>
        <v>19.18976015372083</v>
      </c>
      <c r="J82" s="11">
        <v>101119.0965348</v>
      </c>
      <c r="K82" s="11">
        <v>3.1928106751107301</v>
      </c>
      <c r="L82" s="14">
        <f>$H$101+1*(J82-72028.99)</f>
        <v>29089.144735700589</v>
      </c>
      <c r="M82" s="22">
        <f t="shared" si="13"/>
        <v>80.807571021170389</v>
      </c>
      <c r="N82" s="13">
        <v>137122.47784189999</v>
      </c>
      <c r="O82" s="13">
        <v>2.9034423828125</v>
      </c>
      <c r="P82" s="12">
        <f>$L$101-1*(N82-108032)</f>
        <v>6907.5658662565911</v>
      </c>
      <c r="Q82" s="24">
        <f t="shared" si="14"/>
        <v>19.188926615926391</v>
      </c>
      <c r="R82" s="10">
        <v>173127.85756099501</v>
      </c>
      <c r="S82" s="11">
        <v>3.1960134795212798</v>
      </c>
      <c r="T82" s="14">
        <f>$P$101+1*(R82-144037.75)</f>
        <v>29088.774454795603</v>
      </c>
      <c r="U82" s="22">
        <f t="shared" si="15"/>
        <v>80.807373603134863</v>
      </c>
      <c r="V82" s="13">
        <v>209131.248869095</v>
      </c>
      <c r="W82" s="13">
        <v>2.8985595703125</v>
      </c>
      <c r="X82" s="12">
        <f>$T$101-1*(V82-180041)</f>
        <v>6907.4245581565992</v>
      </c>
      <c r="Y82" s="24">
        <f t="shared" si="16"/>
        <v>19.188609392476668</v>
      </c>
      <c r="Z82" s="10">
        <v>245136.64759519001</v>
      </c>
      <c r="AA82" s="11">
        <v>3.1963494811397299</v>
      </c>
      <c r="AB82" s="14">
        <f>$X$101+1*(Z82-216046.5)</f>
        <v>29088.673180890612</v>
      </c>
      <c r="AC82" s="22">
        <f t="shared" si="17"/>
        <v>80.807319607487216</v>
      </c>
      <c r="AD82" s="13">
        <v>281140.07490429003</v>
      </c>
      <c r="AE82" s="13">
        <v>2.89947509765625</v>
      </c>
      <c r="AF82" s="12">
        <f>$AB$101-1*(AD82-252049.97)</f>
        <v>6907.467249056579</v>
      </c>
      <c r="AG82" s="24">
        <f t="shared" si="18"/>
        <v>19.188705229811422</v>
      </c>
      <c r="AH82" s="10">
        <v>317145.66063338501</v>
      </c>
      <c r="AI82" s="11">
        <v>3.1982113616633399</v>
      </c>
      <c r="AJ82" s="14">
        <f>$AF$101+1*(AH82-288055.5)</f>
        <v>29088.728909985592</v>
      </c>
      <c r="AK82" s="22">
        <f t="shared" si="19"/>
        <v>0.98406503435795067</v>
      </c>
      <c r="AL82" s="13">
        <v>353149.11994248501</v>
      </c>
      <c r="AM82" s="13">
        <v>2.89825439453125</v>
      </c>
      <c r="AN82" s="14">
        <f>$AJ$101-1*(AL82-324059)</f>
        <v>6907.5079399565802</v>
      </c>
      <c r="AO82" s="24"/>
    </row>
    <row r="83" spans="1:41" x14ac:dyDescent="0.25">
      <c r="A83" s="9">
        <v>81</v>
      </c>
      <c r="B83" s="10">
        <v>29473.993665312599</v>
      </c>
      <c r="C83" s="11">
        <v>3.1916115500710198</v>
      </c>
      <c r="D83" s="14">
        <f t="shared" si="10"/>
        <v>29453.727265312598</v>
      </c>
      <c r="E83" s="22">
        <f t="shared" si="11"/>
        <v>81.818181851995305</v>
      </c>
      <c r="F83" s="13">
        <v>65477.689064411999</v>
      </c>
      <c r="G83" s="13">
        <v>2.9071044921875</v>
      </c>
      <c r="H83" s="20">
        <f>$D$101-1*(F83-36023)</f>
        <v>6544.3109116480991</v>
      </c>
      <c r="I83" s="24">
        <f t="shared" si="12"/>
        <v>18.179632155642317</v>
      </c>
      <c r="J83" s="11">
        <v>101482.72279650799</v>
      </c>
      <c r="K83" s="11">
        <v>3.19427490234375</v>
      </c>
      <c r="L83" s="14">
        <f>$H$101+1*(J83-72028.99)</f>
        <v>29452.770997408581</v>
      </c>
      <c r="M83" s="22">
        <f t="shared" si="13"/>
        <v>81.81769886216081</v>
      </c>
      <c r="N83" s="13">
        <v>137486.104103608</v>
      </c>
      <c r="O83" s="13">
        <v>2.90130615234375</v>
      </c>
      <c r="P83" s="12">
        <f>$L$101-1*(N83-108032)</f>
        <v>6543.9396045485846</v>
      </c>
      <c r="Q83" s="24">
        <f t="shared" si="14"/>
        <v>18.178788198626009</v>
      </c>
      <c r="R83" s="10">
        <v>173491.483822704</v>
      </c>
      <c r="S83" s="11">
        <v>3.1961891867896299</v>
      </c>
      <c r="T83" s="14">
        <f>$P$101+1*(R83-144037.75)</f>
        <v>29452.400716504599</v>
      </c>
      <c r="U83" s="22">
        <f t="shared" si="15"/>
        <v>81.817511834550999</v>
      </c>
      <c r="V83" s="13">
        <v>209494.87513080399</v>
      </c>
      <c r="W83" s="13">
        <v>2.8961181640625</v>
      </c>
      <c r="X83" s="12">
        <f>$T$101-1*(V83-180041)</f>
        <v>6543.7982964476032</v>
      </c>
      <c r="Y83" s="24">
        <f t="shared" si="16"/>
        <v>18.178467009880382</v>
      </c>
      <c r="Z83" s="10">
        <v>245500.273856899</v>
      </c>
      <c r="AA83" s="11">
        <v>3.19771506569611</v>
      </c>
      <c r="AB83" s="14">
        <f>$X$101+1*(Z83-216046.5)</f>
        <v>29452.299442599608</v>
      </c>
      <c r="AC83" s="22">
        <f t="shared" si="17"/>
        <v>81.817460680779547</v>
      </c>
      <c r="AD83" s="13">
        <v>281503.70116599899</v>
      </c>
      <c r="AE83" s="13">
        <v>2.89703369140625</v>
      </c>
      <c r="AF83" s="12">
        <f>$AB$101-1*(AD83-252049.97)</f>
        <v>6543.8409873476121</v>
      </c>
      <c r="AG83" s="24">
        <f t="shared" si="18"/>
        <v>18.178564045181904</v>
      </c>
      <c r="AH83" s="10">
        <v>317509.28689509397</v>
      </c>
      <c r="AI83" s="11">
        <v>3.1999067826707499</v>
      </c>
      <c r="AJ83" s="14">
        <f>$AF$101+1*(AH83-288055.5)</f>
        <v>29452.355171694559</v>
      </c>
      <c r="AK83" s="22">
        <f t="shared" si="19"/>
        <v>0.98458670236023071</v>
      </c>
      <c r="AL83" s="13">
        <v>353512.74620419397</v>
      </c>
      <c r="AM83" s="13">
        <v>2.89581298828125</v>
      </c>
      <c r="AN83" s="14">
        <f>$AJ$101-1*(AL83-324059)</f>
        <v>6543.8816782476133</v>
      </c>
      <c r="AO83" s="24"/>
    </row>
    <row r="84" spans="1:41" x14ac:dyDescent="0.25">
      <c r="A84" s="9">
        <v>82</v>
      </c>
      <c r="B84" s="10">
        <v>29837.619927020802</v>
      </c>
      <c r="C84" s="11">
        <v>3.1931805851484101</v>
      </c>
      <c r="D84" s="14">
        <f t="shared" si="10"/>
        <v>29817.353527020801</v>
      </c>
      <c r="E84" s="22">
        <f t="shared" si="11"/>
        <v>82.828282860217811</v>
      </c>
      <c r="F84" s="13">
        <v>65841.315326120195</v>
      </c>
      <c r="G84" s="13">
        <v>2.9051655470722899</v>
      </c>
      <c r="H84" s="20">
        <f>$D$101-1*(F84-36023)</f>
        <v>6180.6846499399035</v>
      </c>
      <c r="I84" s="24">
        <f t="shared" si="12"/>
        <v>17.169504157563825</v>
      </c>
      <c r="J84" s="11">
        <v>101846.34905821701</v>
      </c>
      <c r="K84" s="11">
        <v>3.19580078125</v>
      </c>
      <c r="L84" s="14">
        <f>$H$101+1*(J84-72028.99)</f>
        <v>29816.397259117592</v>
      </c>
      <c r="M84" s="22">
        <f t="shared" si="13"/>
        <v>82.827826703154074</v>
      </c>
      <c r="N84" s="13">
        <v>137849.73036531699</v>
      </c>
      <c r="O84" s="13">
        <v>2.89886474609375</v>
      </c>
      <c r="P84" s="12">
        <f>$L$101-1*(N84-108032)</f>
        <v>6180.3133428395886</v>
      </c>
      <c r="Q84" s="24">
        <f t="shared" si="14"/>
        <v>17.168649781322877</v>
      </c>
      <c r="R84" s="10">
        <v>173855.11008441201</v>
      </c>
      <c r="S84" s="11">
        <v>3.1984394728534502</v>
      </c>
      <c r="T84" s="14">
        <f>$P$101+1*(R84-144037.75)</f>
        <v>29816.026978212605</v>
      </c>
      <c r="U84" s="22">
        <f t="shared" si="15"/>
        <v>82.827650065964392</v>
      </c>
      <c r="V84" s="13">
        <v>209858.501392512</v>
      </c>
      <c r="W84" s="13">
        <v>2.8936767578125</v>
      </c>
      <c r="X84" s="12">
        <f>$T$101-1*(V84-180041)</f>
        <v>6180.1720347395967</v>
      </c>
      <c r="Y84" s="24">
        <f t="shared" si="16"/>
        <v>17.16832462728684</v>
      </c>
      <c r="Z84" s="10">
        <v>245863.90011860701</v>
      </c>
      <c r="AA84" s="11">
        <v>3.1993550001973099</v>
      </c>
      <c r="AB84" s="14">
        <f>$X$101+1*(Z84-216046.5)</f>
        <v>29815.925704307614</v>
      </c>
      <c r="AC84" s="22">
        <f t="shared" si="17"/>
        <v>82.827601754069136</v>
      </c>
      <c r="AD84" s="13">
        <v>281867.32742770697</v>
      </c>
      <c r="AE84" s="13">
        <v>2.894287109375</v>
      </c>
      <c r="AF84" s="12">
        <f>$AB$101-1*(AD84-252049.97)</f>
        <v>6180.2147256396347</v>
      </c>
      <c r="AG84" s="24">
        <f t="shared" si="18"/>
        <v>17.168422860555129</v>
      </c>
      <c r="AH84" s="10">
        <v>317872.91315680201</v>
      </c>
      <c r="AI84" s="11">
        <v>3.2015097261680801</v>
      </c>
      <c r="AJ84" s="14">
        <f>$AF$101+1*(AH84-288055.5)</f>
        <v>29815.981433402594</v>
      </c>
      <c r="AK84" s="22">
        <f t="shared" si="19"/>
        <v>0.98507991574402465</v>
      </c>
      <c r="AL84" s="13">
        <v>353876.37246590201</v>
      </c>
      <c r="AM84" s="13">
        <v>2.89306640625</v>
      </c>
      <c r="AN84" s="14">
        <f>$AJ$101-1*(AL84-324059)</f>
        <v>6180.2554165395777</v>
      </c>
      <c r="AO84" s="24"/>
    </row>
    <row r="85" spans="1:41" x14ac:dyDescent="0.25">
      <c r="A85" s="9">
        <v>83</v>
      </c>
      <c r="B85" s="10">
        <v>30201.246188729001</v>
      </c>
      <c r="C85" s="11">
        <v>3.194580078125</v>
      </c>
      <c r="D85" s="14">
        <f t="shared" si="10"/>
        <v>30180.979788729001</v>
      </c>
      <c r="E85" s="22">
        <f t="shared" si="11"/>
        <v>83.838383868440317</v>
      </c>
      <c r="F85" s="13">
        <v>66204.941587828405</v>
      </c>
      <c r="G85" s="13">
        <v>2.90283203125</v>
      </c>
      <c r="H85" s="20">
        <f>$D$101-1*(F85-36023)</f>
        <v>5817.0583882316932</v>
      </c>
      <c r="I85" s="24">
        <f t="shared" si="12"/>
        <v>16.159376159485294</v>
      </c>
      <c r="J85" s="11">
        <v>102209.975319925</v>
      </c>
      <c r="K85" s="11">
        <v>3.1970276495422998</v>
      </c>
      <c r="L85" s="14">
        <f>$H$101+1*(J85-72028.99)</f>
        <v>30180.023520825584</v>
      </c>
      <c r="M85" s="22">
        <f t="shared" si="13"/>
        <v>83.837954544144495</v>
      </c>
      <c r="N85" s="13">
        <v>138213.356627025</v>
      </c>
      <c r="O85" s="13">
        <v>2.89642333984375</v>
      </c>
      <c r="P85" s="12">
        <f>$L$101-1*(N85-108032)</f>
        <v>5816.6870811315821</v>
      </c>
      <c r="Q85" s="24">
        <f t="shared" si="14"/>
        <v>16.158511364022495</v>
      </c>
      <c r="R85" s="10">
        <v>174218.73634611999</v>
      </c>
      <c r="S85" s="11">
        <v>3.19916388001102</v>
      </c>
      <c r="T85" s="14">
        <f>$P$101+1*(R85-144037.75)</f>
        <v>30179.653239920583</v>
      </c>
      <c r="U85" s="22">
        <f t="shared" si="15"/>
        <v>83.837788297377699</v>
      </c>
      <c r="V85" s="13">
        <v>210222.12765422001</v>
      </c>
      <c r="W85" s="13">
        <v>2.89093017578125</v>
      </c>
      <c r="X85" s="12">
        <f>$T$101-1*(V85-180041)</f>
        <v>5816.5457730315902</v>
      </c>
      <c r="Y85" s="24">
        <f t="shared" si="16"/>
        <v>16.158182244693304</v>
      </c>
      <c r="Z85" s="10">
        <v>246227.52638031499</v>
      </c>
      <c r="AA85" s="11">
        <v>3.2007020892518301</v>
      </c>
      <c r="AB85" s="14">
        <f>$X$101+1*(Z85-216046.5)</f>
        <v>30179.551966015591</v>
      </c>
      <c r="AC85" s="22">
        <f t="shared" si="17"/>
        <v>83.837742827358625</v>
      </c>
      <c r="AD85" s="13">
        <v>282230.95368941501</v>
      </c>
      <c r="AE85" s="13">
        <v>2.89154052734375</v>
      </c>
      <c r="AF85" s="12">
        <f>$AB$101-1*(AD85-252049.97)</f>
        <v>5816.5884639315991</v>
      </c>
      <c r="AG85" s="24">
        <f t="shared" si="18"/>
        <v>16.158281675928198</v>
      </c>
      <c r="AH85" s="10">
        <v>318236.53941850999</v>
      </c>
      <c r="AI85" s="11">
        <v>3.20343017578125</v>
      </c>
      <c r="AJ85" s="14">
        <f>$AF$101+1*(AH85-288055.5)</f>
        <v>30179.607695110572</v>
      </c>
      <c r="AK85" s="22">
        <f t="shared" si="19"/>
        <v>0.98567082331730771</v>
      </c>
      <c r="AL85" s="13">
        <v>354239.99872760999</v>
      </c>
      <c r="AM85" s="13">
        <v>2.89031982421875</v>
      </c>
      <c r="AN85" s="14">
        <f>$AJ$101-1*(AL85-324059)</f>
        <v>5816.6291548316003</v>
      </c>
      <c r="AO85" s="24"/>
    </row>
    <row r="86" spans="1:41" x14ac:dyDescent="0.25">
      <c r="A86" s="9">
        <v>84</v>
      </c>
      <c r="B86" s="10">
        <v>30564.8724504372</v>
      </c>
      <c r="C86" s="11">
        <v>3.1952459161931501</v>
      </c>
      <c r="D86" s="14">
        <f t="shared" si="10"/>
        <v>30544.6060504372</v>
      </c>
      <c r="E86" s="22">
        <f t="shared" si="11"/>
        <v>84.848484876662809</v>
      </c>
      <c r="F86" s="13">
        <v>66568.567849536601</v>
      </c>
      <c r="G86" s="13">
        <v>2.900390625</v>
      </c>
      <c r="H86" s="20">
        <f>$D$101-1*(F86-36023)</f>
        <v>5453.4321265234976</v>
      </c>
      <c r="I86" s="24">
        <f t="shared" si="12"/>
        <v>15.149248161406803</v>
      </c>
      <c r="J86" s="11">
        <v>102573.601581633</v>
      </c>
      <c r="K86" s="11">
        <v>3.1984271425189901</v>
      </c>
      <c r="L86" s="14">
        <f>$H$101+1*(J86-72028.99)</f>
        <v>30543.64978253359</v>
      </c>
      <c r="M86" s="22">
        <f t="shared" si="13"/>
        <v>84.848082385134958</v>
      </c>
      <c r="N86" s="13">
        <v>138576.98288873301</v>
      </c>
      <c r="O86" s="13">
        <v>2.89398193359375</v>
      </c>
      <c r="P86" s="12">
        <f>$L$101-1*(N86-108032)</f>
        <v>5453.0608194235756</v>
      </c>
      <c r="Q86" s="24">
        <f t="shared" si="14"/>
        <v>15.148372946722111</v>
      </c>
      <c r="R86" s="10">
        <v>174582.36260782799</v>
      </c>
      <c r="S86" s="11">
        <v>3.2007483280067901</v>
      </c>
      <c r="T86" s="14">
        <f>$P$101+1*(R86-144037.75)</f>
        <v>30543.279501628589</v>
      </c>
      <c r="U86" s="22">
        <f t="shared" si="15"/>
        <v>84.847926528791092</v>
      </c>
      <c r="V86" s="13">
        <v>210585.75391592801</v>
      </c>
      <c r="W86" s="13">
        <v>2.88818359375</v>
      </c>
      <c r="X86" s="12">
        <f>$T$101-1*(V86-180041)</f>
        <v>5452.9195113235837</v>
      </c>
      <c r="Y86" s="24">
        <f t="shared" si="16"/>
        <v>15.148039862099763</v>
      </c>
      <c r="Z86" s="10">
        <v>246591.15264202299</v>
      </c>
      <c r="AA86" s="11">
        <v>3.20281982421875</v>
      </c>
      <c r="AB86" s="14">
        <f>$X$101+1*(Z86-216046.5)</f>
        <v>30543.178227723598</v>
      </c>
      <c r="AC86" s="22">
        <f t="shared" si="17"/>
        <v>84.847883900648213</v>
      </c>
      <c r="AD86" s="13">
        <v>282594.57995112299</v>
      </c>
      <c r="AE86" s="13">
        <v>2.8887939453125</v>
      </c>
      <c r="AF86" s="12">
        <f>$AB$101-1*(AD86-252049.97)</f>
        <v>5452.9622022236217</v>
      </c>
      <c r="AG86" s="24">
        <f t="shared" si="18"/>
        <v>15.148140491301424</v>
      </c>
      <c r="AH86" s="10">
        <v>318600.16568021802</v>
      </c>
      <c r="AI86" s="11">
        <v>3.20507627544972</v>
      </c>
      <c r="AJ86" s="14">
        <f>$AF$101+1*(AH86-288055.5)</f>
        <v>30543.233956818607</v>
      </c>
      <c r="AK86" s="22">
        <f t="shared" si="19"/>
        <v>0.98617731552299071</v>
      </c>
      <c r="AL86" s="13">
        <v>354603.62498931802</v>
      </c>
      <c r="AM86" s="13">
        <v>2.88726806640625</v>
      </c>
      <c r="AN86" s="14">
        <f>$AJ$101-1*(AL86-324059)</f>
        <v>5453.0028931235647</v>
      </c>
      <c r="AO86" s="24"/>
    </row>
    <row r="87" spans="1:41" x14ac:dyDescent="0.25">
      <c r="A87" s="9">
        <v>85</v>
      </c>
      <c r="B87" s="10">
        <v>30928.4987121454</v>
      </c>
      <c r="C87" s="11">
        <v>3.19685810744163</v>
      </c>
      <c r="D87" s="14">
        <f t="shared" si="10"/>
        <v>30908.232312145399</v>
      </c>
      <c r="E87" s="22">
        <f t="shared" si="11"/>
        <v>85.858585884885315</v>
      </c>
      <c r="F87" s="13">
        <v>66932.194111244797</v>
      </c>
      <c r="G87" s="13">
        <v>2.89764404296875</v>
      </c>
      <c r="H87" s="20">
        <f>$D$101-1*(F87-36023)</f>
        <v>5089.8058648153019</v>
      </c>
      <c r="I87" s="24">
        <f t="shared" si="12"/>
        <v>14.139120163328311</v>
      </c>
      <c r="J87" s="11">
        <v>102937.227843341</v>
      </c>
      <c r="K87" s="11">
        <v>3.2001441416115299</v>
      </c>
      <c r="L87" s="14">
        <f>$H$101+1*(J87-72028.99)</f>
        <v>30907.276044241582</v>
      </c>
      <c r="M87" s="22">
        <f t="shared" si="13"/>
        <v>85.858210226125379</v>
      </c>
      <c r="N87" s="13">
        <v>138940.60915044101</v>
      </c>
      <c r="O87" s="13">
        <v>2.8912353515625</v>
      </c>
      <c r="P87" s="12">
        <f>$L$101-1*(N87-108032)</f>
        <v>5089.4345577155691</v>
      </c>
      <c r="Q87" s="24">
        <f t="shared" si="14"/>
        <v>14.138234529421728</v>
      </c>
      <c r="R87" s="10">
        <v>174945.988869536</v>
      </c>
      <c r="S87" s="11">
        <v>3.2019751962990699</v>
      </c>
      <c r="T87" s="14">
        <f>$P$101+1*(R87-144037.75)</f>
        <v>30906.905763336596</v>
      </c>
      <c r="U87" s="22">
        <f t="shared" si="15"/>
        <v>85.858064760204485</v>
      </c>
      <c r="V87" s="13">
        <v>210949.38017763599</v>
      </c>
      <c r="W87" s="13">
        <v>2.8853661122949199</v>
      </c>
      <c r="X87" s="12">
        <f>$T$101-1*(V87-180041)</f>
        <v>5089.2932496156063</v>
      </c>
      <c r="Y87" s="24">
        <f t="shared" si="16"/>
        <v>14.137897479506305</v>
      </c>
      <c r="Z87" s="10">
        <v>246954.778903731</v>
      </c>
      <c r="AA87" s="11">
        <v>3.20418232619142</v>
      </c>
      <c r="AB87" s="14">
        <f>$X$101+1*(Z87-216046.5)</f>
        <v>30906.804489431604</v>
      </c>
      <c r="AC87" s="22">
        <f t="shared" si="17"/>
        <v>85.858024973937788</v>
      </c>
      <c r="AD87" s="13">
        <v>282958.20621283102</v>
      </c>
      <c r="AE87" s="13">
        <v>2.8857421875</v>
      </c>
      <c r="AF87" s="12">
        <f>$AB$101-1*(AD87-252049.97)</f>
        <v>5089.3359405155861</v>
      </c>
      <c r="AG87" s="24">
        <f t="shared" si="18"/>
        <v>14.137999306674489</v>
      </c>
      <c r="AH87" s="10">
        <v>318963.791941926</v>
      </c>
      <c r="AI87" s="11">
        <v>3.206787109375</v>
      </c>
      <c r="AJ87" s="14">
        <f>$AF$101+1*(AH87-288055.5)</f>
        <v>30906.860218526585</v>
      </c>
      <c r="AK87" s="22">
        <f t="shared" si="19"/>
        <v>0.98670372596153844</v>
      </c>
      <c r="AL87" s="13">
        <v>354967.251251026</v>
      </c>
      <c r="AM87" s="13">
        <v>2.88421630859375</v>
      </c>
      <c r="AN87" s="14">
        <f>$AJ$101-1*(AL87-324059)</f>
        <v>5089.3766314155873</v>
      </c>
      <c r="AO87" s="24"/>
    </row>
    <row r="88" spans="1:41" x14ac:dyDescent="0.25">
      <c r="A88" s="9">
        <v>86</v>
      </c>
      <c r="B88" s="10">
        <v>31292.124973853599</v>
      </c>
      <c r="C88" s="11">
        <v>3.1985042071101701</v>
      </c>
      <c r="D88" s="14">
        <f t="shared" si="10"/>
        <v>31271.858573853599</v>
      </c>
      <c r="E88" s="22">
        <f t="shared" si="11"/>
        <v>86.868686893107792</v>
      </c>
      <c r="F88" s="13">
        <v>67295.820372953007</v>
      </c>
      <c r="G88" s="13">
        <v>2.8948974609375</v>
      </c>
      <c r="H88" s="20">
        <f>$D$101-1*(F88-36023)</f>
        <v>4726.1796031070917</v>
      </c>
      <c r="I88" s="24">
        <f t="shared" si="12"/>
        <v>13.128992165249779</v>
      </c>
      <c r="J88" s="11">
        <v>103300.854105049</v>
      </c>
      <c r="K88" s="11">
        <v>3.2005078864816401</v>
      </c>
      <c r="L88" s="14">
        <f>$H$101+1*(J88-72028.99)</f>
        <v>31270.902305949588</v>
      </c>
      <c r="M88" s="22">
        <f t="shared" si="13"/>
        <v>86.868338067115857</v>
      </c>
      <c r="N88" s="13">
        <v>139304.23541214899</v>
      </c>
      <c r="O88" s="13">
        <v>2.88818359375</v>
      </c>
      <c r="P88" s="12">
        <f>$L$101-1*(N88-108032)</f>
        <v>4725.8082960075917</v>
      </c>
      <c r="Q88" s="24">
        <f t="shared" si="14"/>
        <v>13.128096112121426</v>
      </c>
      <c r="R88" s="10">
        <v>175309.61513124499</v>
      </c>
      <c r="S88" s="11">
        <v>3.2036921953915698</v>
      </c>
      <c r="T88" s="14">
        <f>$P$101+1*(R88-144037.75)</f>
        <v>31270.532025045592</v>
      </c>
      <c r="U88" s="22">
        <f t="shared" si="15"/>
        <v>86.86820299162062</v>
      </c>
      <c r="V88" s="13">
        <v>211313.00643934499</v>
      </c>
      <c r="W88" s="13">
        <v>2.88238525390625</v>
      </c>
      <c r="X88" s="12">
        <f>$T$101-1*(V88-180041)</f>
        <v>4725.6669879066103</v>
      </c>
      <c r="Y88" s="24">
        <f t="shared" si="16"/>
        <v>13.127755096910015</v>
      </c>
      <c r="Z88" s="10">
        <v>247318.40516544</v>
      </c>
      <c r="AA88" s="11">
        <v>3.2057852696888598</v>
      </c>
      <c r="AB88" s="14">
        <f>$X$101+1*(Z88-216046.5)</f>
        <v>31270.4307511406</v>
      </c>
      <c r="AC88" s="22">
        <f t="shared" si="17"/>
        <v>86.868166047230119</v>
      </c>
      <c r="AD88" s="13">
        <v>283321.83247453999</v>
      </c>
      <c r="AE88" s="13">
        <v>2.8826904296875</v>
      </c>
      <c r="AF88" s="12">
        <f>$AB$101-1*(AD88-252049.97)</f>
        <v>4725.7096788066192</v>
      </c>
      <c r="AG88" s="24">
        <f t="shared" si="18"/>
        <v>13.127858122044969</v>
      </c>
      <c r="AH88" s="10">
        <v>319327.41820363502</v>
      </c>
      <c r="AI88" s="11">
        <v>3.2086181640625</v>
      </c>
      <c r="AJ88" s="14">
        <f>$AF$101+1*(AH88-288055.5)</f>
        <v>31270.48648023561</v>
      </c>
      <c r="AK88" s="22">
        <f t="shared" si="19"/>
        <v>0.98726712740384615</v>
      </c>
      <c r="AL88" s="13">
        <v>355330.87751273502</v>
      </c>
      <c r="AM88" s="13">
        <v>2.88116455078125</v>
      </c>
      <c r="AN88" s="14">
        <f>$AJ$101-1*(AL88-324059)</f>
        <v>4725.7503697065622</v>
      </c>
      <c r="AO88" s="24"/>
    </row>
    <row r="89" spans="1:41" x14ac:dyDescent="0.25">
      <c r="A89" s="9">
        <v>87</v>
      </c>
      <c r="B89" s="10">
        <v>31655.751235561798</v>
      </c>
      <c r="C89" s="11">
        <v>3.2002304539535902</v>
      </c>
      <c r="D89" s="14">
        <f t="shared" si="10"/>
        <v>31635.484835561798</v>
      </c>
      <c r="E89" s="22">
        <f t="shared" si="11"/>
        <v>87.878787901330284</v>
      </c>
      <c r="F89" s="13">
        <v>67659.446634661203</v>
      </c>
      <c r="G89" s="13">
        <v>2.891845703125</v>
      </c>
      <c r="H89" s="20">
        <f>$D$101-1*(F89-36023)</f>
        <v>4362.553341398896</v>
      </c>
      <c r="I89" s="24">
        <f t="shared" si="12"/>
        <v>12.118864167171289</v>
      </c>
      <c r="J89" s="11">
        <v>103664.480366758</v>
      </c>
      <c r="K89" s="11">
        <v>3.20281982421875</v>
      </c>
      <c r="L89" s="14">
        <f>$H$101+1*(J89-72028.99)</f>
        <v>31634.528567658585</v>
      </c>
      <c r="M89" s="22">
        <f t="shared" si="13"/>
        <v>87.878465908109078</v>
      </c>
      <c r="N89" s="13">
        <v>139667.86167385799</v>
      </c>
      <c r="O89" s="13">
        <v>2.8851318359375</v>
      </c>
      <c r="P89" s="12">
        <f>$L$101-1*(N89-108032)</f>
        <v>4362.1820342985957</v>
      </c>
      <c r="Q89" s="24">
        <f t="shared" si="14"/>
        <v>12.117957694818294</v>
      </c>
      <c r="R89" s="10">
        <v>175673.241392953</v>
      </c>
      <c r="S89" s="11">
        <v>3.2049560546875</v>
      </c>
      <c r="T89" s="14">
        <f>$P$101+1*(R89-144037.75)</f>
        <v>31634.158286753598</v>
      </c>
      <c r="U89" s="22">
        <f t="shared" si="15"/>
        <v>87.878341223034013</v>
      </c>
      <c r="V89" s="13">
        <v>211676.63270105299</v>
      </c>
      <c r="W89" s="13">
        <v>2.8790283203125</v>
      </c>
      <c r="X89" s="12">
        <f>$T$101-1*(V89-180041)</f>
        <v>4362.0407261986038</v>
      </c>
      <c r="Y89" s="24">
        <f t="shared" si="16"/>
        <v>12.117612714316477</v>
      </c>
      <c r="Z89" s="10">
        <v>247682.031427148</v>
      </c>
      <c r="AA89" s="11">
        <v>3.2073974609375</v>
      </c>
      <c r="AB89" s="14">
        <f>$X$101+1*(Z89-216046.5)</f>
        <v>31634.057012848607</v>
      </c>
      <c r="AC89" s="22">
        <f t="shared" si="17"/>
        <v>87.878307120519707</v>
      </c>
      <c r="AD89" s="13">
        <v>283685.45873624802</v>
      </c>
      <c r="AE89" s="13">
        <v>2.879638671875</v>
      </c>
      <c r="AF89" s="12">
        <f>$AB$101-1*(AD89-252049.97)</f>
        <v>4362.0834170985836</v>
      </c>
      <c r="AG89" s="24">
        <f t="shared" si="18"/>
        <v>12.117716937418036</v>
      </c>
      <c r="AH89" s="10">
        <v>319691.044465343</v>
      </c>
      <c r="AI89" s="11">
        <v>3.2112167820785</v>
      </c>
      <c r="AJ89" s="14">
        <f>$AF$101+1*(AH89-288055.5)</f>
        <v>31634.112741943587</v>
      </c>
      <c r="AK89" s="22">
        <f t="shared" si="19"/>
        <v>0.98806670217799997</v>
      </c>
      <c r="AL89" s="13">
        <v>355694.503774443</v>
      </c>
      <c r="AM89" s="13">
        <v>2.8778076171875</v>
      </c>
      <c r="AN89" s="14">
        <f>$AJ$101-1*(AL89-324059)</f>
        <v>4362.1241079985848</v>
      </c>
      <c r="AO89" s="24"/>
    </row>
    <row r="90" spans="1:41" x14ac:dyDescent="0.25">
      <c r="A90" s="9">
        <v>88</v>
      </c>
      <c r="B90" s="10">
        <v>32019.377497270001</v>
      </c>
      <c r="C90" s="11">
        <v>3.2012939453125</v>
      </c>
      <c r="D90" s="14">
        <f t="shared" si="10"/>
        <v>31999.111097270001</v>
      </c>
      <c r="E90" s="22">
        <f t="shared" si="11"/>
        <v>88.888888909552804</v>
      </c>
      <c r="F90" s="13">
        <v>68023.072896369398</v>
      </c>
      <c r="G90" s="13">
        <v>2.88848876953125</v>
      </c>
      <c r="H90" s="20">
        <f>$D$101-1*(F90-36023)</f>
        <v>3998.9270796907003</v>
      </c>
      <c r="I90" s="24">
        <f t="shared" si="12"/>
        <v>11.108736169092797</v>
      </c>
      <c r="J90" s="11">
        <v>104028.106628466</v>
      </c>
      <c r="K90" s="11">
        <v>3.2037692599826499</v>
      </c>
      <c r="L90" s="14">
        <f>$H$101+1*(J90-72028.99)</f>
        <v>31998.154829366591</v>
      </c>
      <c r="M90" s="22">
        <f t="shared" si="13"/>
        <v>88.888593749099527</v>
      </c>
      <c r="N90" s="13">
        <v>140031.48793556599</v>
      </c>
      <c r="O90" s="13">
        <v>2.88177490234375</v>
      </c>
      <c r="P90" s="12">
        <f>$L$101-1*(N90-108032)</f>
        <v>3998.5557725905892</v>
      </c>
      <c r="Q90" s="24">
        <f t="shared" si="14"/>
        <v>11.107819277517912</v>
      </c>
      <c r="R90" s="10">
        <v>176036.86765466101</v>
      </c>
      <c r="S90" s="11">
        <v>3.20648193359375</v>
      </c>
      <c r="T90" s="14">
        <f>$P$101+1*(R90-144037.75)</f>
        <v>31997.784548461605</v>
      </c>
      <c r="U90" s="22">
        <f t="shared" si="15"/>
        <v>88.888479454447392</v>
      </c>
      <c r="V90" s="13">
        <v>212040.258962761</v>
      </c>
      <c r="W90" s="13">
        <v>2.87567138671875</v>
      </c>
      <c r="X90" s="12">
        <f>$T$101-1*(V90-180041)</f>
        <v>3998.4144644905973</v>
      </c>
      <c r="Y90" s="24">
        <f t="shared" si="16"/>
        <v>11.107470331722938</v>
      </c>
      <c r="Z90" s="10">
        <v>248045.65768885601</v>
      </c>
      <c r="AA90" s="11">
        <v>3.209228515625</v>
      </c>
      <c r="AB90" s="14">
        <f>$X$101+1*(Z90-216046.5)</f>
        <v>31997.683274556613</v>
      </c>
      <c r="AC90" s="22">
        <f t="shared" si="17"/>
        <v>88.888448193809282</v>
      </c>
      <c r="AD90" s="13">
        <v>284049.084997956</v>
      </c>
      <c r="AE90" s="13">
        <v>2.8759765625</v>
      </c>
      <c r="AF90" s="12">
        <f>$AB$101-1*(AD90-252049.97)</f>
        <v>3998.4571553906062</v>
      </c>
      <c r="AG90" s="24">
        <f t="shared" si="18"/>
        <v>11.107575752791265</v>
      </c>
      <c r="AH90" s="10">
        <v>320054.67072705098</v>
      </c>
      <c r="AI90" s="11">
        <v>3.2120429144965899</v>
      </c>
      <c r="AJ90" s="14">
        <f>$AF$101+1*(AH90-288055.5)</f>
        <v>31997.739003651564</v>
      </c>
      <c r="AK90" s="22">
        <f t="shared" si="19"/>
        <v>0.98832089676818147</v>
      </c>
      <c r="AL90" s="13">
        <v>356058.13003615098</v>
      </c>
      <c r="AM90" s="13">
        <v>2.8744167751735898</v>
      </c>
      <c r="AN90" s="14">
        <f>$AJ$101-1*(AL90-324059)</f>
        <v>3998.4978462906074</v>
      </c>
      <c r="AO90" s="24"/>
    </row>
    <row r="91" spans="1:41" x14ac:dyDescent="0.25">
      <c r="A91" s="9">
        <v>89</v>
      </c>
      <c r="B91" s="10">
        <v>32383.0037589782</v>
      </c>
      <c r="C91" s="11">
        <v>3.2027550899620998</v>
      </c>
      <c r="D91" s="14">
        <f t="shared" si="10"/>
        <v>32362.7373589782</v>
      </c>
      <c r="E91" s="22">
        <f t="shared" si="11"/>
        <v>89.898989917775296</v>
      </c>
      <c r="F91" s="13">
        <v>68386.699158077594</v>
      </c>
      <c r="G91" s="13">
        <v>2.88482666015625</v>
      </c>
      <c r="H91" s="20">
        <f>$D$101-1*(F91-36023)</f>
        <v>3635.3008179825047</v>
      </c>
      <c r="I91" s="24">
        <f t="shared" si="12"/>
        <v>10.098608171014305</v>
      </c>
      <c r="J91" s="11">
        <v>104391.732890174</v>
      </c>
      <c r="K91" s="11">
        <v>3.20587158203125</v>
      </c>
      <c r="L91" s="14">
        <f>$H$101+1*(J91-72028.99)</f>
        <v>32361.781091074583</v>
      </c>
      <c r="M91" s="22">
        <f t="shared" si="13"/>
        <v>89.898721590089963</v>
      </c>
      <c r="N91" s="13">
        <v>140395.114197274</v>
      </c>
      <c r="O91" s="13">
        <v>2.87811279296875</v>
      </c>
      <c r="P91" s="12">
        <f>$L$101-1*(N91-108032)</f>
        <v>3634.9295108825827</v>
      </c>
      <c r="Q91" s="24">
        <f t="shared" si="14"/>
        <v>10.097680860217528</v>
      </c>
      <c r="R91" s="10">
        <v>176400.49391636901</v>
      </c>
      <c r="S91" s="11">
        <v>3.2081526939316101</v>
      </c>
      <c r="T91" s="14">
        <f>$P$101+1*(R91-144037.75)</f>
        <v>32361.410810169611</v>
      </c>
      <c r="U91" s="22">
        <f t="shared" si="15"/>
        <v>89.898617685860785</v>
      </c>
      <c r="V91" s="13">
        <v>212403.88522446901</v>
      </c>
      <c r="W91" s="13">
        <v>2.87200927734375</v>
      </c>
      <c r="X91" s="12">
        <f>$T$101-1*(V91-180041)</f>
        <v>3634.7882027825908</v>
      </c>
      <c r="Y91" s="24">
        <f t="shared" si="16"/>
        <v>10.097327949129399</v>
      </c>
      <c r="Z91" s="10">
        <v>248409.28395056399</v>
      </c>
      <c r="AA91" s="11">
        <v>3.2106742473563501</v>
      </c>
      <c r="AB91" s="14">
        <f>$X$101+1*(Z91-216046.5)</f>
        <v>32361.309536264591</v>
      </c>
      <c r="AC91" s="22">
        <f t="shared" si="17"/>
        <v>89.898589267098785</v>
      </c>
      <c r="AD91" s="13">
        <v>284412.71125966398</v>
      </c>
      <c r="AE91" s="13">
        <v>2.87261962890625</v>
      </c>
      <c r="AF91" s="12">
        <f>$AB$101-1*(AD91-252049.97)</f>
        <v>3634.8308936826288</v>
      </c>
      <c r="AG91" s="24">
        <f t="shared" si="18"/>
        <v>10.097434568164491</v>
      </c>
      <c r="AH91" s="10">
        <v>320418.29698875902</v>
      </c>
      <c r="AI91" s="11">
        <v>3.21480182686232</v>
      </c>
      <c r="AJ91" s="14">
        <f>$AF$101+1*(AH91-288055.5)</f>
        <v>32361.3652653596</v>
      </c>
      <c r="AK91" s="22">
        <f t="shared" si="19"/>
        <v>0.98916979288071383</v>
      </c>
      <c r="AL91" s="13">
        <v>356421.75629785901</v>
      </c>
      <c r="AM91" s="13">
        <v>2.87078857421875</v>
      </c>
      <c r="AN91" s="14">
        <f>$AJ$101-1*(AL91-324059)</f>
        <v>3634.8715845825718</v>
      </c>
      <c r="AO91" s="24"/>
    </row>
    <row r="92" spans="1:41" x14ac:dyDescent="0.25">
      <c r="A92" s="9">
        <v>90</v>
      </c>
      <c r="B92" s="10">
        <v>32746.6300206864</v>
      </c>
      <c r="C92" s="11">
        <v>3.20465087890625</v>
      </c>
      <c r="D92" s="14">
        <f t="shared" si="10"/>
        <v>32726.363620686399</v>
      </c>
      <c r="E92" s="22">
        <f t="shared" si="11"/>
        <v>90.909090925997788</v>
      </c>
      <c r="F92" s="13">
        <v>68750.325419785804</v>
      </c>
      <c r="G92" s="13">
        <v>2.88074840198863</v>
      </c>
      <c r="H92" s="20">
        <f>$D$101-1*(F92-36023)</f>
        <v>3271.6745562742944</v>
      </c>
      <c r="I92" s="24">
        <f t="shared" si="12"/>
        <v>9.0884801729357712</v>
      </c>
      <c r="J92" s="11">
        <v>104755.359151882</v>
      </c>
      <c r="K92" s="11">
        <v>3.206787109375</v>
      </c>
      <c r="L92" s="14">
        <f>$H$101+1*(J92-72028.99)</f>
        <v>32725.407352782589</v>
      </c>
      <c r="M92" s="22">
        <f t="shared" si="13"/>
        <v>90.908849431080426</v>
      </c>
      <c r="N92" s="13">
        <v>140758.74045898201</v>
      </c>
      <c r="O92" s="13">
        <v>2.8741455078125</v>
      </c>
      <c r="P92" s="12">
        <f>$L$101-1*(N92-108032)</f>
        <v>3271.3032491745762</v>
      </c>
      <c r="Q92" s="24">
        <f t="shared" si="14"/>
        <v>9.0875424429171456</v>
      </c>
      <c r="R92" s="10">
        <v>176764.12017807699</v>
      </c>
      <c r="S92" s="11">
        <v>3.209228515625</v>
      </c>
      <c r="T92" s="14">
        <f>$P$101+1*(R92-144037.75)</f>
        <v>32725.037071877588</v>
      </c>
      <c r="U92" s="22">
        <f t="shared" si="15"/>
        <v>90.908755917274092</v>
      </c>
      <c r="V92" s="13">
        <v>212767.51148617701</v>
      </c>
      <c r="W92" s="13">
        <v>2.86834716796875</v>
      </c>
      <c r="X92" s="12">
        <f>$T$101-1*(V92-180041)</f>
        <v>3271.1619410745843</v>
      </c>
      <c r="Y92" s="24">
        <f t="shared" si="16"/>
        <v>9.0871855665358581</v>
      </c>
      <c r="Z92" s="10">
        <v>248772.91021227199</v>
      </c>
      <c r="AA92" s="11">
        <v>3.2125022194600601</v>
      </c>
      <c r="AB92" s="14">
        <f>$X$101+1*(Z92-216046.5)</f>
        <v>32724.935797972597</v>
      </c>
      <c r="AC92" s="22">
        <f t="shared" si="17"/>
        <v>90.90873034038836</v>
      </c>
      <c r="AD92" s="13">
        <v>284776.33752137201</v>
      </c>
      <c r="AE92" s="13">
        <v>2.86895751953125</v>
      </c>
      <c r="AF92" s="12">
        <f>$AB$101-1*(AD92-252049.97)</f>
        <v>3271.2046319745932</v>
      </c>
      <c r="AG92" s="24">
        <f t="shared" si="18"/>
        <v>9.087293383537558</v>
      </c>
      <c r="AH92" s="10">
        <v>320781.92325046699</v>
      </c>
      <c r="AI92" s="11">
        <v>3.2166637073864801</v>
      </c>
      <c r="AJ92" s="14">
        <f>$AF$101+1*(AH92-288055.5)</f>
        <v>32724.991527067577</v>
      </c>
      <c r="AK92" s="22">
        <f t="shared" si="19"/>
        <v>0.98974267919584002</v>
      </c>
      <c r="AL92" s="13">
        <v>356785.38255956699</v>
      </c>
      <c r="AM92" s="13">
        <v>2.86712646484375</v>
      </c>
      <c r="AN92" s="14">
        <f>$AJ$101-1*(AL92-324059)</f>
        <v>3271.2453228745944</v>
      </c>
      <c r="AO92" s="24"/>
    </row>
    <row r="93" spans="1:41" x14ac:dyDescent="0.25">
      <c r="A93" s="9">
        <v>91</v>
      </c>
      <c r="B93" s="10">
        <v>33110.256282394497</v>
      </c>
      <c r="C93" s="11">
        <v>3.20648193359375</v>
      </c>
      <c r="D93" s="14">
        <f t="shared" si="10"/>
        <v>33089.989882394497</v>
      </c>
      <c r="E93" s="22">
        <f t="shared" si="11"/>
        <v>91.919191934220009</v>
      </c>
      <c r="F93" s="13">
        <v>69113.951681493898</v>
      </c>
      <c r="G93" s="13">
        <v>2.8765869140625</v>
      </c>
      <c r="H93" s="20">
        <f>$D$101-1*(F93-36023)</f>
        <v>2908.0482945662006</v>
      </c>
      <c r="I93" s="24">
        <f t="shared" si="12"/>
        <v>8.0783521748575637</v>
      </c>
      <c r="J93" s="11">
        <v>105118.98541359</v>
      </c>
      <c r="K93" s="11">
        <v>3.20953060882275</v>
      </c>
      <c r="L93" s="14">
        <f>$H$101+1*(J93-72028.99)</f>
        <v>33089.033614490581</v>
      </c>
      <c r="M93" s="22">
        <f t="shared" si="13"/>
        <v>91.918977272070862</v>
      </c>
      <c r="N93" s="13">
        <v>141122.36672069001</v>
      </c>
      <c r="O93" s="13">
        <v>2.87017822265625</v>
      </c>
      <c r="P93" s="12">
        <f>$L$101-1*(N93-108032)</f>
        <v>2907.6769874665697</v>
      </c>
      <c r="Q93" s="24">
        <f t="shared" si="14"/>
        <v>8.0774040256167634</v>
      </c>
      <c r="R93" s="10">
        <v>177127.746439785</v>
      </c>
      <c r="S93" s="11">
        <v>3.2116606741245399</v>
      </c>
      <c r="T93" s="14">
        <f>$P$101+1*(R93-144037.75)</f>
        <v>33088.663333585595</v>
      </c>
      <c r="U93" s="22">
        <f t="shared" si="15"/>
        <v>91.918894148687485</v>
      </c>
      <c r="V93" s="13">
        <v>213131.13774788499</v>
      </c>
      <c r="W93" s="13">
        <v>2.86468505859375</v>
      </c>
      <c r="X93" s="12">
        <f>$T$101-1*(V93-180041)</f>
        <v>2907.5356793666069</v>
      </c>
      <c r="Y93" s="24">
        <f t="shared" si="16"/>
        <v>8.0770431839424006</v>
      </c>
      <c r="Z93" s="10">
        <v>249136.53647398</v>
      </c>
      <c r="AA93" s="11">
        <v>3.21441650390625</v>
      </c>
      <c r="AB93" s="14">
        <f>$X$101+1*(Z93-216046.5)</f>
        <v>33088.562059680604</v>
      </c>
      <c r="AC93" s="22">
        <f t="shared" si="17"/>
        <v>91.918871413677934</v>
      </c>
      <c r="AD93" s="13">
        <v>285139.96378307999</v>
      </c>
      <c r="AE93" s="13">
        <v>2.86529541015625</v>
      </c>
      <c r="AF93" s="12">
        <f>$AB$101-1*(AD93-252049.97)</f>
        <v>2907.5783702666158</v>
      </c>
      <c r="AG93" s="24">
        <f t="shared" si="18"/>
        <v>8.0771521989107864</v>
      </c>
      <c r="AH93" s="10">
        <v>321145.54951217602</v>
      </c>
      <c r="AI93" s="11">
        <v>3.2180878610316799</v>
      </c>
      <c r="AJ93" s="14">
        <f>$AF$101+1*(AH93-288055.5)</f>
        <v>33088.617788776603</v>
      </c>
      <c r="AK93" s="22">
        <f t="shared" si="19"/>
        <v>0.99018088031744</v>
      </c>
      <c r="AL93" s="13">
        <v>357149.00882127503</v>
      </c>
      <c r="AM93" s="13">
        <v>2.8631591796875</v>
      </c>
      <c r="AN93" s="14">
        <f>$AJ$101-1*(AL93-324059)</f>
        <v>2907.6190611665588</v>
      </c>
      <c r="AO93" s="24"/>
    </row>
    <row r="94" spans="1:41" x14ac:dyDescent="0.25">
      <c r="A94" s="9">
        <v>92</v>
      </c>
      <c r="B94" s="10">
        <v>33473.8825441027</v>
      </c>
      <c r="C94" s="11">
        <v>3.20880620166509</v>
      </c>
      <c r="D94" s="14">
        <f t="shared" si="10"/>
        <v>33453.6161441027</v>
      </c>
      <c r="E94" s="22">
        <f t="shared" si="11"/>
        <v>92.929292942442515</v>
      </c>
      <c r="F94" s="13">
        <v>69477.577943202094</v>
      </c>
      <c r="G94" s="13">
        <v>2.87200927734375</v>
      </c>
      <c r="H94" s="20">
        <f>$D$101-1*(F94-36023)</f>
        <v>2544.422032858005</v>
      </c>
      <c r="I94" s="24">
        <f t="shared" si="12"/>
        <v>7.0682241767790712</v>
      </c>
      <c r="J94" s="11">
        <v>105482.61167529901</v>
      </c>
      <c r="K94" s="11">
        <v>3.2111304697366001</v>
      </c>
      <c r="L94" s="14">
        <f>$H$101+1*(J94-72028.99)</f>
        <v>33452.659876199592</v>
      </c>
      <c r="M94" s="22">
        <f t="shared" si="13"/>
        <v>92.929105113064097</v>
      </c>
      <c r="N94" s="13">
        <v>141485.99298239901</v>
      </c>
      <c r="O94" s="13">
        <v>2.8662109375</v>
      </c>
      <c r="P94" s="12">
        <f>$L$101-1*(N94-108032)</f>
        <v>2544.0507257575737</v>
      </c>
      <c r="Q94" s="24">
        <f t="shared" si="14"/>
        <v>7.0672656083136305</v>
      </c>
      <c r="R94" s="10">
        <v>177491.37270149399</v>
      </c>
      <c r="S94" s="11">
        <v>3.2133591777142301</v>
      </c>
      <c r="T94" s="14">
        <f>$P$101+1*(R94-144037.75)</f>
        <v>33452.289595294591</v>
      </c>
      <c r="U94" s="22">
        <f t="shared" si="15"/>
        <v>92.929032380103621</v>
      </c>
      <c r="V94" s="13">
        <v>213494.76400959399</v>
      </c>
      <c r="W94" s="13">
        <v>2.86041259765625</v>
      </c>
      <c r="X94" s="12">
        <f>$T$101-1*(V94-180041)</f>
        <v>2543.9094176576109</v>
      </c>
      <c r="Y94" s="24">
        <f t="shared" si="16"/>
        <v>7.0669008013461125</v>
      </c>
      <c r="Z94" s="10">
        <v>249500.16273568899</v>
      </c>
      <c r="AA94" s="11">
        <v>3.21685791015625</v>
      </c>
      <c r="AB94" s="14">
        <f>$X$101+1*(Z94-216046.5)</f>
        <v>33452.1883213896</v>
      </c>
      <c r="AC94" s="22">
        <f t="shared" si="17"/>
        <v>92.929012486970279</v>
      </c>
      <c r="AD94" s="13">
        <v>285503.59004478902</v>
      </c>
      <c r="AE94" s="13">
        <v>2.861328125</v>
      </c>
      <c r="AF94" s="12">
        <f>$AB$101-1*(AD94-252049.97)</f>
        <v>2543.9521085575907</v>
      </c>
      <c r="AG94" s="24">
        <f t="shared" si="18"/>
        <v>7.0670110142811033</v>
      </c>
      <c r="AH94" s="10">
        <v>321509.175773884</v>
      </c>
      <c r="AI94" s="11">
        <v>3.2212012705178701</v>
      </c>
      <c r="AJ94" s="14">
        <f>$AF$101+1*(AH94-288055.5)</f>
        <v>33452.24405048458</v>
      </c>
      <c r="AK94" s="22">
        <f t="shared" si="19"/>
        <v>0.99113885246703692</v>
      </c>
      <c r="AL94" s="13">
        <v>357512.63508298399</v>
      </c>
      <c r="AM94" s="13">
        <v>2.85919189453125</v>
      </c>
      <c r="AN94" s="14">
        <f>$AJ$101-1*(AL94-324059)</f>
        <v>2543.9927994575919</v>
      </c>
      <c r="AO94" s="24"/>
    </row>
    <row r="95" spans="1:41" x14ac:dyDescent="0.25">
      <c r="A95" s="9">
        <v>93</v>
      </c>
      <c r="B95" s="10">
        <v>33837.508805810903</v>
      </c>
      <c r="C95" s="11">
        <v>3.2112167820785902</v>
      </c>
      <c r="D95" s="14">
        <f t="shared" si="10"/>
        <v>33817.242405810903</v>
      </c>
      <c r="E95" s="22">
        <f t="shared" si="11"/>
        <v>93.939393950665021</v>
      </c>
      <c r="F95" s="13">
        <v>69841.204204910304</v>
      </c>
      <c r="G95" s="13">
        <v>2.86712646484375</v>
      </c>
      <c r="H95" s="20">
        <f>$D$101-1*(F95-36023)</f>
        <v>2180.7957711497947</v>
      </c>
      <c r="I95" s="24">
        <f t="shared" si="12"/>
        <v>6.0580961787005396</v>
      </c>
      <c r="J95" s="11">
        <v>105846.237937007</v>
      </c>
      <c r="K95" s="11">
        <v>3.2135009765625</v>
      </c>
      <c r="L95" s="14">
        <f>$H$101+1*(J95-72028.99)</f>
        <v>33816.286137907584</v>
      </c>
      <c r="M95" s="22">
        <f t="shared" si="13"/>
        <v>93.939232954054532</v>
      </c>
      <c r="N95" s="13">
        <v>141849.61924410699</v>
      </c>
      <c r="O95" s="13">
        <v>2.86163330078125</v>
      </c>
      <c r="P95" s="12">
        <f>$L$101-1*(N95-108032)</f>
        <v>2180.4244640495963</v>
      </c>
      <c r="Q95" s="24">
        <f t="shared" si="14"/>
        <v>6.0571271910133291</v>
      </c>
      <c r="R95" s="10">
        <v>177854.998963202</v>
      </c>
      <c r="S95" s="11">
        <v>3.2154799952652402</v>
      </c>
      <c r="T95" s="14">
        <f>$P$101+1*(R95-144037.75)</f>
        <v>33815.915857002597</v>
      </c>
      <c r="U95" s="22">
        <f t="shared" si="15"/>
        <v>93.939170611517</v>
      </c>
      <c r="V95" s="13">
        <v>213858.39027130199</v>
      </c>
      <c r="W95" s="13">
        <v>2.8564453125</v>
      </c>
      <c r="X95" s="12">
        <f>$T$101-1*(V95-180041)</f>
        <v>2180.2831559496044</v>
      </c>
      <c r="Y95" s="24">
        <f t="shared" si="16"/>
        <v>6.0567584187525734</v>
      </c>
      <c r="Z95" s="10">
        <v>249863.788997397</v>
      </c>
      <c r="AA95" s="11">
        <v>3.21868896484375</v>
      </c>
      <c r="AB95" s="14">
        <f>$X$101+1*(Z95-216046.5)</f>
        <v>33815.814583097606</v>
      </c>
      <c r="AC95" s="22">
        <f t="shared" si="17"/>
        <v>93.939153560259854</v>
      </c>
      <c r="AD95" s="13">
        <v>285867.21630649699</v>
      </c>
      <c r="AE95" s="13">
        <v>2.8570556640625</v>
      </c>
      <c r="AF95" s="12">
        <f>$AB$101-1*(AD95-252049.97)</f>
        <v>2180.3258468496133</v>
      </c>
      <c r="AG95" s="24">
        <f t="shared" si="18"/>
        <v>6.0568698296543317</v>
      </c>
      <c r="AH95" s="10">
        <v>321872.80203559197</v>
      </c>
      <c r="AI95" s="11">
        <v>3.22357177734375</v>
      </c>
      <c r="AJ95" s="14">
        <f>$AF$101+1*(AH95-288055.5)</f>
        <v>33815.870312192557</v>
      </c>
      <c r="AK95" s="22">
        <f t="shared" si="19"/>
        <v>0.99186823918269229</v>
      </c>
      <c r="AL95" s="13">
        <v>357876.26134469197</v>
      </c>
      <c r="AM95" s="13">
        <v>2.85491943359375</v>
      </c>
      <c r="AN95" s="14">
        <f>$AJ$101-1*(AL95-324059)</f>
        <v>2180.3665377496145</v>
      </c>
      <c r="AO95" s="24"/>
    </row>
    <row r="96" spans="1:41" x14ac:dyDescent="0.25">
      <c r="A96" s="9">
        <v>94</v>
      </c>
      <c r="B96" s="10">
        <v>34201.135067519099</v>
      </c>
      <c r="C96" s="11">
        <v>3.2134609029750698</v>
      </c>
      <c r="D96" s="14">
        <f t="shared" si="10"/>
        <v>34180.868667519098</v>
      </c>
      <c r="E96" s="22">
        <f t="shared" si="11"/>
        <v>94.949494958887499</v>
      </c>
      <c r="F96" s="13">
        <v>70204.830466618499</v>
      </c>
      <c r="G96" s="13">
        <v>2.86224365234375</v>
      </c>
      <c r="H96" s="20">
        <f>$D$101-1*(F96-36023)</f>
        <v>1817.1695094415991</v>
      </c>
      <c r="I96" s="24">
        <f t="shared" si="12"/>
        <v>5.047968180622048</v>
      </c>
      <c r="J96" s="11">
        <v>106209.864198715</v>
      </c>
      <c r="K96" s="11">
        <v>3.21563720703125</v>
      </c>
      <c r="L96" s="14">
        <f>$H$101+1*(J96-72028.99)</f>
        <v>34179.91239961559</v>
      </c>
      <c r="M96" s="22">
        <f t="shared" si="13"/>
        <v>94.949360795044996</v>
      </c>
      <c r="N96" s="13">
        <v>142213.24550581499</v>
      </c>
      <c r="O96" s="13">
        <v>2.8570556640625</v>
      </c>
      <c r="P96" s="12">
        <f>$L$101-1*(N96-108032)</f>
        <v>1816.7982023415898</v>
      </c>
      <c r="Q96" s="24">
        <f t="shared" si="14"/>
        <v>5.046988773712946</v>
      </c>
      <c r="R96" s="10">
        <v>178218.62522491001</v>
      </c>
      <c r="S96" s="11">
        <v>3.21807861328125</v>
      </c>
      <c r="T96" s="14">
        <f>$P$101+1*(R96-144037.75)</f>
        <v>34179.542118710604</v>
      </c>
      <c r="U96" s="22">
        <f t="shared" si="15"/>
        <v>94.949308842930392</v>
      </c>
      <c r="V96" s="13">
        <v>214222.01653301</v>
      </c>
      <c r="W96" s="13">
        <v>2.85186767578125</v>
      </c>
      <c r="X96" s="12">
        <f>$T$101-1*(V96-180041)</f>
        <v>1816.6568942415979</v>
      </c>
      <c r="Y96" s="24">
        <f t="shared" si="16"/>
        <v>5.0466160361590333</v>
      </c>
      <c r="Z96" s="10">
        <v>250227.41525910501</v>
      </c>
      <c r="AA96" s="11">
        <v>3.2219256776751499</v>
      </c>
      <c r="AB96" s="14">
        <f>$X$101+1*(Z96-216046.5)</f>
        <v>34179.440844805613</v>
      </c>
      <c r="AC96" s="22">
        <f t="shared" si="17"/>
        <v>94.949294633549428</v>
      </c>
      <c r="AD96" s="13">
        <v>286230.84256820497</v>
      </c>
      <c r="AE96" s="13">
        <v>2.85308837890625</v>
      </c>
      <c r="AF96" s="12">
        <f>$AB$101-1*(AD96-252049.97)</f>
        <v>1816.6995851416359</v>
      </c>
      <c r="AG96" s="24">
        <f t="shared" si="18"/>
        <v>5.0467286450275592</v>
      </c>
      <c r="AH96" s="10">
        <v>322236.42829730001</v>
      </c>
      <c r="AI96" s="11">
        <v>3.2271938131313198</v>
      </c>
      <c r="AJ96" s="14">
        <f>$AF$101+1*(AH96-288055.5)</f>
        <v>34179.496573900593</v>
      </c>
      <c r="AK96" s="22">
        <f t="shared" si="19"/>
        <v>0.9929827117327138</v>
      </c>
      <c r="AL96" s="13">
        <v>358239.88760640001</v>
      </c>
      <c r="AM96" s="13">
        <v>2.8509521484375</v>
      </c>
      <c r="AN96" s="14">
        <f>$AJ$101-1*(AL96-324059)</f>
        <v>1816.7402760415789</v>
      </c>
      <c r="AO96" s="24"/>
    </row>
    <row r="97" spans="1:41" x14ac:dyDescent="0.25">
      <c r="A97" s="9">
        <v>95</v>
      </c>
      <c r="B97" s="10">
        <v>34564.761329227302</v>
      </c>
      <c r="C97" s="11">
        <v>3.2160965119949498</v>
      </c>
      <c r="D97" s="14">
        <f t="shared" si="10"/>
        <v>34544.494929227301</v>
      </c>
      <c r="E97" s="22">
        <f t="shared" si="11"/>
        <v>95.959595967110005</v>
      </c>
      <c r="F97" s="13">
        <v>70568.456728326695</v>
      </c>
      <c r="G97" s="13">
        <v>2.8570556640625</v>
      </c>
      <c r="H97" s="20">
        <f>$D$101-1*(F97-36023)</f>
        <v>1453.5432477334034</v>
      </c>
      <c r="I97" s="24">
        <f t="shared" si="12"/>
        <v>4.0378401825435564</v>
      </c>
      <c r="J97" s="11">
        <v>106573.490460423</v>
      </c>
      <c r="K97" s="11">
        <v>3.2176193083176199</v>
      </c>
      <c r="L97" s="14">
        <f>$H$101+1*(J97-72028.99)</f>
        <v>34543.538661323582</v>
      </c>
      <c r="M97" s="22">
        <f t="shared" si="13"/>
        <v>95.959488636035431</v>
      </c>
      <c r="N97" s="13">
        <v>142576.871767523</v>
      </c>
      <c r="O97" s="13">
        <v>2.85247802734375</v>
      </c>
      <c r="P97" s="12">
        <f>$L$101-1*(N97-108032)</f>
        <v>1453.1719406335833</v>
      </c>
      <c r="Q97" s="24">
        <f t="shared" si="14"/>
        <v>4.0368503564125628</v>
      </c>
      <c r="R97" s="10">
        <v>178582.25148661801</v>
      </c>
      <c r="S97" s="11">
        <v>3.2205169369477802</v>
      </c>
      <c r="T97" s="14">
        <f>$P$101+1*(R97-144037.75)</f>
        <v>34543.16838041861</v>
      </c>
      <c r="U97" s="22">
        <f t="shared" si="15"/>
        <v>95.959447074343785</v>
      </c>
      <c r="V97" s="13">
        <v>214585.64279471801</v>
      </c>
      <c r="W97" s="13">
        <v>2.8472900390625</v>
      </c>
      <c r="X97" s="12">
        <f>$T$101-1*(V97-180041)</f>
        <v>1453.0306325335914</v>
      </c>
      <c r="Y97" s="24">
        <f t="shared" si="16"/>
        <v>4.0364736535654941</v>
      </c>
      <c r="Z97" s="10">
        <v>250591.04152081301</v>
      </c>
      <c r="AA97" s="11">
        <v>3.22448422210371</v>
      </c>
      <c r="AB97" s="14">
        <f>$X$101+1*(Z97-216046.5)</f>
        <v>34543.067106513619</v>
      </c>
      <c r="AC97" s="22">
        <f t="shared" si="17"/>
        <v>95.959435706839017</v>
      </c>
      <c r="AD97" s="13">
        <v>286594.46882991301</v>
      </c>
      <c r="AE97" s="13">
        <v>2.8485107421875</v>
      </c>
      <c r="AF97" s="12">
        <f>$AB$101-1*(AD97-252049.97)</f>
        <v>1453.0733234336003</v>
      </c>
      <c r="AG97" s="24">
        <f t="shared" si="18"/>
        <v>4.036587460400626</v>
      </c>
      <c r="AH97" s="10">
        <v>322600.05455900799</v>
      </c>
      <c r="AI97" s="11">
        <v>3.2299773861665102</v>
      </c>
      <c r="AJ97" s="14">
        <f>$AF$101+1*(AH97-288055.5)</f>
        <v>34543.12283560857</v>
      </c>
      <c r="AK97" s="22">
        <f t="shared" si="19"/>
        <v>0.99383919574354163</v>
      </c>
      <c r="AL97" s="13">
        <v>358603.51386810798</v>
      </c>
      <c r="AM97" s="13">
        <v>2.84637451171875</v>
      </c>
      <c r="AN97" s="14">
        <f>$AJ$101-1*(AL97-324059)</f>
        <v>1453.1140143336015</v>
      </c>
      <c r="AO97" s="24"/>
    </row>
    <row r="98" spans="1:41" x14ac:dyDescent="0.25">
      <c r="A98" s="9">
        <v>96</v>
      </c>
      <c r="B98" s="10">
        <v>34928.387590935497</v>
      </c>
      <c r="C98" s="11">
        <v>3.21868896484375</v>
      </c>
      <c r="D98" s="14">
        <f t="shared" si="10"/>
        <v>34908.121190935497</v>
      </c>
      <c r="E98" s="22">
        <f t="shared" si="11"/>
        <v>96.969696975332496</v>
      </c>
      <c r="F98" s="13">
        <v>70932.082990034905</v>
      </c>
      <c r="G98" s="13">
        <v>2.85186767578125</v>
      </c>
      <c r="H98" s="20">
        <f>$D$101-1*(F98-36023)</f>
        <v>1089.9169860251932</v>
      </c>
      <c r="I98" s="24">
        <f t="shared" si="12"/>
        <v>3.0277121844650243</v>
      </c>
      <c r="J98" s="11">
        <v>106937.116722131</v>
      </c>
      <c r="K98" s="11">
        <v>3.2203258167617599</v>
      </c>
      <c r="L98" s="14">
        <f>$H$101+1*(J98-72028.99)</f>
        <v>34907.164923031589</v>
      </c>
      <c r="M98" s="22">
        <f t="shared" si="13"/>
        <v>96.969616477025895</v>
      </c>
      <c r="N98" s="13">
        <v>142940.49802923101</v>
      </c>
      <c r="O98" s="13">
        <v>2.84759521484375</v>
      </c>
      <c r="P98" s="12">
        <f>$L$101-1*(N98-108032)</f>
        <v>1089.5456789255768</v>
      </c>
      <c r="Q98" s="24">
        <f t="shared" si="14"/>
        <v>3.0267119391121802</v>
      </c>
      <c r="R98" s="10">
        <v>178945.87774832599</v>
      </c>
      <c r="S98" s="11">
        <v>3.2238399621210698</v>
      </c>
      <c r="T98" s="14">
        <f>$P$101+1*(R98-144037.75)</f>
        <v>34906.794642126588</v>
      </c>
      <c r="U98" s="22">
        <f t="shared" si="15"/>
        <v>96.969585305757093</v>
      </c>
      <c r="V98" s="13">
        <v>214949.26905642601</v>
      </c>
      <c r="W98" s="13">
        <v>2.84271240234375</v>
      </c>
      <c r="X98" s="12">
        <f>$T$101-1*(V98-180041)</f>
        <v>1089.4043708255849</v>
      </c>
      <c r="Y98" s="24">
        <f t="shared" si="16"/>
        <v>3.026331270971955</v>
      </c>
      <c r="Z98" s="10">
        <v>250954.66778252099</v>
      </c>
      <c r="AA98" s="11">
        <v>3.2270026929448199</v>
      </c>
      <c r="AB98" s="14">
        <f>$X$101+1*(Z98-216046.5)</f>
        <v>34906.693368221597</v>
      </c>
      <c r="AC98" s="22">
        <f t="shared" si="17"/>
        <v>96.969576780128506</v>
      </c>
      <c r="AD98" s="13">
        <v>286958.09509162098</v>
      </c>
      <c r="AE98" s="13">
        <v>2.84393310546875</v>
      </c>
      <c r="AF98" s="12">
        <f>$AB$101-1*(AD98-252049.97)</f>
        <v>1089.4470617256229</v>
      </c>
      <c r="AG98" s="24">
        <f t="shared" si="18"/>
        <v>3.0264462757738535</v>
      </c>
      <c r="AH98" s="10">
        <v>322963.68082071602</v>
      </c>
      <c r="AI98" s="11">
        <v>3.2333743933476802</v>
      </c>
      <c r="AJ98" s="14">
        <f>$AF$101+1*(AH98-288055.5)</f>
        <v>34906.749097316606</v>
      </c>
      <c r="AK98" s="22">
        <f t="shared" si="19"/>
        <v>0.99488442872236316</v>
      </c>
      <c r="AL98" s="13">
        <v>358967.14012981602</v>
      </c>
      <c r="AM98" s="13">
        <v>2.841796875</v>
      </c>
      <c r="AN98" s="14">
        <f>$AJ$101-1*(AL98-324059)</f>
        <v>1089.4877526255659</v>
      </c>
      <c r="AO98" s="24"/>
    </row>
    <row r="99" spans="1:41" x14ac:dyDescent="0.25">
      <c r="A99" s="9">
        <v>97</v>
      </c>
      <c r="B99" s="10">
        <v>35292.0138526437</v>
      </c>
      <c r="C99" s="11">
        <v>3.22227400962753</v>
      </c>
      <c r="D99" s="14">
        <f t="shared" si="10"/>
        <v>35271.7474526437</v>
      </c>
      <c r="E99" s="22">
        <f t="shared" si="11"/>
        <v>97.979797983555002</v>
      </c>
      <c r="F99" s="13">
        <v>71295.709251743101</v>
      </c>
      <c r="G99" s="13">
        <v>2.8466796875</v>
      </c>
      <c r="H99" s="20">
        <f>$D$101-1*(F99-36023)</f>
        <v>726.29072431699751</v>
      </c>
      <c r="I99" s="24">
        <f t="shared" si="12"/>
        <v>2.0175841863865327</v>
      </c>
      <c r="J99" s="11">
        <v>107300.74298384</v>
      </c>
      <c r="K99" s="11">
        <v>3.2237998885338901</v>
      </c>
      <c r="L99" s="14">
        <f>$H$101+1*(J99-72028.99)</f>
        <v>35270.791184740585</v>
      </c>
      <c r="M99" s="22">
        <f t="shared" si="13"/>
        <v>97.979744318019115</v>
      </c>
      <c r="N99" s="13">
        <v>143304.12429094</v>
      </c>
      <c r="O99" s="13">
        <v>2.84271240234375</v>
      </c>
      <c r="P99" s="12">
        <f>$L$101-1*(N99-108032)</f>
        <v>725.91941721658077</v>
      </c>
      <c r="Q99" s="24">
        <f t="shared" si="14"/>
        <v>2.0165735218090481</v>
      </c>
      <c r="R99" s="10">
        <v>179309.50401003499</v>
      </c>
      <c r="S99" s="11">
        <v>3.2268516463463901</v>
      </c>
      <c r="T99" s="14">
        <f>$P$101+1*(R99-144037.75)</f>
        <v>35270.420903835584</v>
      </c>
      <c r="U99" s="22">
        <f t="shared" si="15"/>
        <v>97.979723537173228</v>
      </c>
      <c r="V99" s="13">
        <v>215312.89531813501</v>
      </c>
      <c r="W99" s="13">
        <v>2.838134765625</v>
      </c>
      <c r="X99" s="12">
        <f>$T$101-1*(V99-180041)</f>
        <v>725.77810911658889</v>
      </c>
      <c r="Y99" s="24">
        <f t="shared" si="16"/>
        <v>2.0161888883756669</v>
      </c>
      <c r="Z99" s="10">
        <v>251318.29404422999</v>
      </c>
      <c r="AA99" s="11">
        <v>3.2313522184735799</v>
      </c>
      <c r="AB99" s="14">
        <f>$X$101+1*(Z99-216046.5)</f>
        <v>35270.319629930593</v>
      </c>
      <c r="AC99" s="22">
        <f t="shared" si="17"/>
        <v>97.979717853420851</v>
      </c>
      <c r="AD99" s="13">
        <v>287321.72135333001</v>
      </c>
      <c r="AE99" s="13">
        <v>2.83935546875</v>
      </c>
      <c r="AF99" s="12">
        <f>$AB$101-1*(AD99-252049.97)</f>
        <v>725.82080001659779</v>
      </c>
      <c r="AG99" s="24">
        <f t="shared" si="18"/>
        <v>2.0163050911441709</v>
      </c>
      <c r="AH99" s="10">
        <v>323327.30708242499</v>
      </c>
      <c r="AI99" s="11">
        <v>3.2373817520911001</v>
      </c>
      <c r="AJ99" s="14">
        <f>$AF$101+1*(AH99-288055.5)</f>
        <v>35270.375359025573</v>
      </c>
      <c r="AK99" s="22">
        <f t="shared" si="19"/>
        <v>0.99611746218187691</v>
      </c>
      <c r="AL99" s="13">
        <v>359330.76639152499</v>
      </c>
      <c r="AM99" s="13">
        <v>2.83721923828125</v>
      </c>
      <c r="AN99" s="14">
        <f>$AJ$101-1*(AL99-324059)</f>
        <v>725.861490916599</v>
      </c>
      <c r="AO99" s="24"/>
    </row>
    <row r="100" spans="1:41" x14ac:dyDescent="0.25">
      <c r="A100" s="9">
        <v>98</v>
      </c>
      <c r="B100" s="10">
        <v>35655.640114351903</v>
      </c>
      <c r="C100" s="11">
        <v>3.2252117118450099</v>
      </c>
      <c r="D100" s="14">
        <f t="shared" si="10"/>
        <v>35635.373714351903</v>
      </c>
      <c r="E100" s="22">
        <f t="shared" si="11"/>
        <v>98.989898991777508</v>
      </c>
      <c r="F100" s="13">
        <v>71659.335513451297</v>
      </c>
      <c r="G100" s="13">
        <v>2.8411865234375</v>
      </c>
      <c r="H100" s="20">
        <f>$D$101-1*(F100-36023)</f>
        <v>362.66446260880184</v>
      </c>
      <c r="I100" s="24">
        <f t="shared" si="12"/>
        <v>1.0074561883080411</v>
      </c>
      <c r="J100" s="11">
        <v>107664.369245548</v>
      </c>
      <c r="K100" s="11">
        <v>3.22723388671875</v>
      </c>
      <c r="L100" s="14">
        <f>$H$101+1*(J100-72028.99)</f>
        <v>35634.417446448591</v>
      </c>
      <c r="M100" s="22">
        <f t="shared" si="13"/>
        <v>98.989872159009579</v>
      </c>
      <c r="N100" s="13">
        <v>143667.75055264801</v>
      </c>
      <c r="O100" s="13">
        <v>2.8375244140625</v>
      </c>
      <c r="P100" s="12">
        <f>$L$101-1*(N100-108032)</f>
        <v>362.29315550857427</v>
      </c>
      <c r="Q100" s="24">
        <f t="shared" si="14"/>
        <v>1.006435104508665</v>
      </c>
      <c r="R100" s="10">
        <v>179673.13027174299</v>
      </c>
      <c r="S100" s="11">
        <v>3.2303226355352099</v>
      </c>
      <c r="T100" s="14">
        <f>$P$101+1*(R100-144037.75)</f>
        <v>35634.04716554359</v>
      </c>
      <c r="U100" s="22">
        <f t="shared" si="15"/>
        <v>98.989861768586607</v>
      </c>
      <c r="V100" s="13">
        <v>215676.52157984301</v>
      </c>
      <c r="W100" s="13">
        <v>2.83355712890625</v>
      </c>
      <c r="X100" s="12">
        <f>$T$101-1*(V100-180041)</f>
        <v>362.1518474085824</v>
      </c>
      <c r="Y100" s="24">
        <f t="shared" si="16"/>
        <v>1.0060465057821273</v>
      </c>
      <c r="Z100" s="10">
        <v>251681.92030593799</v>
      </c>
      <c r="AA100" s="11">
        <v>3.2349773368449601</v>
      </c>
      <c r="AB100" s="14">
        <f>$X$101+1*(Z100-216046.5)</f>
        <v>35633.945891638599</v>
      </c>
      <c r="AC100" s="22">
        <f t="shared" si="17"/>
        <v>98.989858926710411</v>
      </c>
      <c r="AD100" s="13">
        <v>287685.34761503799</v>
      </c>
      <c r="AE100" s="13">
        <v>2.83477783203125</v>
      </c>
      <c r="AF100" s="12">
        <f>$AB$101-1*(AD100-252049.97)</f>
        <v>362.19453830862039</v>
      </c>
      <c r="AG100" s="24">
        <f t="shared" si="18"/>
        <v>1.0061639065173988</v>
      </c>
      <c r="AH100" s="10">
        <v>323690.93334413302</v>
      </c>
      <c r="AI100" s="11">
        <v>3.24249267578125</v>
      </c>
      <c r="AJ100" s="14">
        <f>$AF$101+1*(AH100-288055.5)</f>
        <v>35634.001620733608</v>
      </c>
      <c r="AK100" s="22">
        <f t="shared" si="19"/>
        <v>0.99769005408653844</v>
      </c>
      <c r="AL100" s="13">
        <v>359694.39265323302</v>
      </c>
      <c r="AM100" s="13">
        <v>2.8326416015625</v>
      </c>
      <c r="AN100" s="14">
        <f>$AJ$101-1*(AL100-324059)</f>
        <v>362.2352292085634</v>
      </c>
      <c r="AO100" s="24"/>
    </row>
    <row r="101" spans="1:41" ht="13.8" thickBot="1" x14ac:dyDescent="0.3">
      <c r="A101" s="9">
        <v>99</v>
      </c>
      <c r="B101" s="15">
        <v>36019.266376060099</v>
      </c>
      <c r="C101" s="16">
        <v>3.22906494140625</v>
      </c>
      <c r="D101" s="14">
        <f t="shared" si="10"/>
        <v>35998.999976060099</v>
      </c>
      <c r="E101" s="22">
        <f t="shared" si="11"/>
        <v>100</v>
      </c>
      <c r="F101" s="17">
        <v>72022.961775159507</v>
      </c>
      <c r="G101" s="17">
        <v>2.83599853515625</v>
      </c>
      <c r="H101" s="20">
        <f>$D$101-1*(F101-36023)</f>
        <v>-0.96179909940838115</v>
      </c>
      <c r="I101" s="24">
        <f t="shared" si="12"/>
        <v>-2.6718097704910263E-3</v>
      </c>
      <c r="J101" s="16">
        <v>108027.995507256</v>
      </c>
      <c r="K101" s="16">
        <v>3.23089599609375</v>
      </c>
      <c r="L101" s="14">
        <f>$H$101+1*(J101-72028.99)</f>
        <v>35998.043708156583</v>
      </c>
      <c r="M101" s="22">
        <f t="shared" si="13"/>
        <v>100</v>
      </c>
      <c r="N101" s="17">
        <v>144031.37681435599</v>
      </c>
      <c r="O101" s="17">
        <v>2.8326416015625</v>
      </c>
      <c r="P101" s="12">
        <f>$L$101-1*(N101-108032)</f>
        <v>-1.3331061994031188</v>
      </c>
      <c r="Q101" s="24">
        <f t="shared" si="14"/>
        <v>-3.7033127916369759E-3</v>
      </c>
      <c r="R101" s="15">
        <v>180036.756533451</v>
      </c>
      <c r="S101" s="16">
        <v>3.23455810546875</v>
      </c>
      <c r="T101" s="14">
        <f>$P$101+1*(R101-144037.75)</f>
        <v>35997.673427251597</v>
      </c>
      <c r="U101" s="22">
        <f t="shared" si="15"/>
        <v>100</v>
      </c>
      <c r="V101" s="17">
        <v>216040.14784155099</v>
      </c>
      <c r="W101" s="17">
        <v>2.82867431640625</v>
      </c>
      <c r="X101" s="12">
        <f>$T$101-1*(V101-180041)</f>
        <v>-1.4744142993949936</v>
      </c>
      <c r="Y101" s="24">
        <f t="shared" si="16"/>
        <v>-4.0958768113311134E-3</v>
      </c>
      <c r="Z101" s="15">
        <v>252045.546567646</v>
      </c>
      <c r="AA101" s="16">
        <v>3.23944091796875</v>
      </c>
      <c r="AB101" s="14">
        <f>$X$101+1*(Z101-216046.5)</f>
        <v>35997.572153346606</v>
      </c>
      <c r="AC101" s="22">
        <f t="shared" si="17"/>
        <v>100</v>
      </c>
      <c r="AD101" s="17">
        <v>288048.97387674602</v>
      </c>
      <c r="AE101" s="17">
        <v>2.82989501953125</v>
      </c>
      <c r="AF101" s="12">
        <f>$AB$101-1*(AD101-252049.97)</f>
        <v>-1.4317233994152048</v>
      </c>
      <c r="AG101" s="24">
        <f t="shared" si="18"/>
        <v>-3.9772781095348915E-3</v>
      </c>
      <c r="AH101" s="15">
        <v>324054.559605841</v>
      </c>
      <c r="AI101" s="16">
        <v>3.248291015625</v>
      </c>
      <c r="AJ101" s="14">
        <f>$AF$101+1*(AH101-288055.5)</f>
        <v>35997.627882441586</v>
      </c>
      <c r="AK101" s="22">
        <f t="shared" si="19"/>
        <v>0.99947415865384615</v>
      </c>
      <c r="AL101" s="17">
        <v>360058.018914941</v>
      </c>
      <c r="AM101" s="17">
        <v>2.8277587890625</v>
      </c>
      <c r="AN101" s="14">
        <f>$AJ$101-1*(AL101-324059)</f>
        <v>-1.3910324994139955</v>
      </c>
      <c r="AO101" s="24"/>
    </row>
    <row r="107" spans="1:41" x14ac:dyDescent="0.25">
      <c r="AD107" t="s">
        <v>35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dc:description/>
  <cp:lastModifiedBy>Lucas</cp:lastModifiedBy>
  <cp:revision>0</cp:revision>
  <dcterms:created xsi:type="dcterms:W3CDTF">2024-12-17T21:59:55Z</dcterms:created>
  <dcterms:modified xsi:type="dcterms:W3CDTF">2024-12-18T11:59:27Z</dcterms:modified>
  <dc:language>en-US</dc:language>
</cp:coreProperties>
</file>