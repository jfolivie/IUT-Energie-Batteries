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Volumes/Lexar/TP3 Propriétés des matériaux Coralie et Noémie 2C/"/>
    </mc:Choice>
  </mc:AlternateContent>
  <xr:revisionPtr revIDLastSave="0" documentId="13_ncr:1_{9B45BEA3-9221-A045-8DD7-1FCF1F8CBF86}" xr6:coauthVersionLast="47" xr6:coauthVersionMax="47" xr10:uidLastSave="{00000000-0000-0000-0000-000000000000}"/>
  <bookViews>
    <workbookView xWindow="0" yWindow="500" windowWidth="28800" windowHeight="16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E2" i="1"/>
  <c r="D3" i="1"/>
  <c r="D4" i="1"/>
  <c r="D5" i="1"/>
  <c r="D6" i="1"/>
  <c r="D7" i="1"/>
  <c r="D8" i="1"/>
  <c r="D9" i="1"/>
  <c r="D10" i="1"/>
  <c r="E10" i="1" s="1"/>
  <c r="D11" i="1"/>
  <c r="D12" i="1"/>
  <c r="D13" i="1"/>
  <c r="D14" i="1"/>
  <c r="D15" i="1"/>
  <c r="D16" i="1"/>
  <c r="D17" i="1"/>
  <c r="D18" i="1"/>
  <c r="E18" i="1" s="1"/>
  <c r="D19" i="1"/>
  <c r="D20" i="1"/>
  <c r="D21" i="1"/>
  <c r="D22" i="1"/>
  <c r="D23" i="1"/>
  <c r="D24" i="1"/>
  <c r="D25" i="1"/>
  <c r="D26" i="1"/>
  <c r="E26" i="1" s="1"/>
  <c r="D27" i="1"/>
  <c r="D28" i="1"/>
  <c r="D29" i="1"/>
  <c r="D30" i="1"/>
  <c r="D31" i="1"/>
  <c r="D32" i="1"/>
  <c r="D33" i="1"/>
  <c r="D34" i="1"/>
  <c r="E34" i="1" s="1"/>
  <c r="D35" i="1"/>
  <c r="D36" i="1"/>
  <c r="D37" i="1"/>
  <c r="D38" i="1"/>
  <c r="D39" i="1"/>
  <c r="D40" i="1"/>
  <c r="D41" i="1"/>
  <c r="D42" i="1"/>
  <c r="E42" i="1" s="1"/>
  <c r="D43" i="1"/>
  <c r="D44" i="1"/>
  <c r="D45" i="1"/>
  <c r="D46" i="1"/>
  <c r="D47" i="1"/>
  <c r="D48" i="1"/>
  <c r="D49" i="1"/>
  <c r="D50" i="1"/>
  <c r="E50" i="1" s="1"/>
  <c r="D51" i="1"/>
  <c r="D52" i="1"/>
  <c r="D53" i="1"/>
  <c r="D54" i="1"/>
  <c r="D55" i="1"/>
  <c r="D56" i="1"/>
  <c r="D57" i="1"/>
  <c r="D58" i="1"/>
  <c r="E58" i="1" s="1"/>
  <c r="D59" i="1"/>
  <c r="D60" i="1"/>
  <c r="D61" i="1"/>
  <c r="D62" i="1"/>
  <c r="D63" i="1"/>
  <c r="D64" i="1"/>
  <c r="D65" i="1"/>
  <c r="D66" i="1"/>
  <c r="E66" i="1" s="1"/>
  <c r="D67" i="1"/>
  <c r="D68" i="1"/>
  <c r="D69" i="1"/>
  <c r="D70" i="1"/>
  <c r="D71" i="1"/>
  <c r="D72" i="1"/>
  <c r="D73" i="1"/>
  <c r="D74" i="1"/>
  <c r="E74" i="1" s="1"/>
  <c r="D75" i="1"/>
  <c r="D76" i="1"/>
  <c r="D77" i="1"/>
  <c r="D78" i="1"/>
  <c r="D79" i="1"/>
  <c r="D80" i="1"/>
  <c r="D81" i="1"/>
  <c r="D82" i="1"/>
  <c r="E82" i="1" s="1"/>
  <c r="D83" i="1"/>
  <c r="D84" i="1"/>
  <c r="D85" i="1"/>
  <c r="D86" i="1"/>
  <c r="D87" i="1"/>
  <c r="D88" i="1"/>
  <c r="D89" i="1"/>
  <c r="D90" i="1"/>
  <c r="E90" i="1" s="1"/>
  <c r="D91" i="1"/>
  <c r="D92" i="1"/>
  <c r="D93" i="1"/>
  <c r="D94" i="1"/>
  <c r="D95" i="1"/>
  <c r="D96" i="1"/>
  <c r="D97" i="1"/>
  <c r="D98" i="1"/>
  <c r="E98" i="1" s="1"/>
  <c r="D99" i="1"/>
  <c r="D100" i="1"/>
  <c r="D101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C23" i="1" s="1"/>
  <c r="AB24" i="1"/>
  <c r="AB25" i="1"/>
  <c r="AB26" i="1"/>
  <c r="AB27" i="1"/>
  <c r="AB28" i="1"/>
  <c r="AB29" i="1"/>
  <c r="AB30" i="1"/>
  <c r="AB31" i="1"/>
  <c r="AC31" i="1" s="1"/>
  <c r="AB32" i="1"/>
  <c r="AB33" i="1"/>
  <c r="AB34" i="1"/>
  <c r="AB35" i="1"/>
  <c r="AB36" i="1"/>
  <c r="AB37" i="1"/>
  <c r="AB38" i="1"/>
  <c r="AB39" i="1"/>
  <c r="AC39" i="1" s="1"/>
  <c r="AB40" i="1"/>
  <c r="AB41" i="1"/>
  <c r="AB42" i="1"/>
  <c r="AB43" i="1"/>
  <c r="AB44" i="1"/>
  <c r="AB45" i="1"/>
  <c r="AB46" i="1"/>
  <c r="AB47" i="1"/>
  <c r="AC47" i="1" s="1"/>
  <c r="AB48" i="1"/>
  <c r="AB49" i="1"/>
  <c r="AB50" i="1"/>
  <c r="AB51" i="1"/>
  <c r="AB52" i="1"/>
  <c r="AB53" i="1"/>
  <c r="AB54" i="1"/>
  <c r="AB55" i="1"/>
  <c r="AC55" i="1" s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C87" i="1" s="1"/>
  <c r="AB88" i="1"/>
  <c r="AB89" i="1"/>
  <c r="AB90" i="1"/>
  <c r="AB91" i="1"/>
  <c r="AB92" i="1"/>
  <c r="AB93" i="1"/>
  <c r="AB94" i="1"/>
  <c r="AB95" i="1"/>
  <c r="AC95" i="1" s="1"/>
  <c r="AB96" i="1"/>
  <c r="AB97" i="1"/>
  <c r="AB98" i="1"/>
  <c r="AB99" i="1"/>
  <c r="AB100" i="1"/>
  <c r="AB101" i="1"/>
  <c r="AB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AC7" i="1"/>
  <c r="AC15" i="1"/>
  <c r="AC63" i="1"/>
  <c r="AC71" i="1"/>
  <c r="AC79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2" i="1"/>
  <c r="AC3" i="1"/>
  <c r="AC4" i="1"/>
  <c r="AC5" i="1"/>
  <c r="AC6" i="1"/>
  <c r="AC8" i="1"/>
  <c r="AC9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4" i="1"/>
  <c r="AC25" i="1"/>
  <c r="AC26" i="1"/>
  <c r="AC27" i="1"/>
  <c r="AC28" i="1"/>
  <c r="AC29" i="1"/>
  <c r="AC30" i="1"/>
  <c r="AC32" i="1"/>
  <c r="AC33" i="1"/>
  <c r="AC34" i="1"/>
  <c r="AC35" i="1"/>
  <c r="AC36" i="1"/>
  <c r="AC37" i="1"/>
  <c r="AC38" i="1"/>
  <c r="AC40" i="1"/>
  <c r="AC41" i="1"/>
  <c r="AC42" i="1"/>
  <c r="AC43" i="1"/>
  <c r="AC44" i="1"/>
  <c r="AC45" i="1"/>
  <c r="AC46" i="1"/>
  <c r="AC48" i="1"/>
  <c r="AC49" i="1"/>
  <c r="AC50" i="1"/>
  <c r="AC51" i="1"/>
  <c r="AC52" i="1"/>
  <c r="AC53" i="1"/>
  <c r="AC54" i="1"/>
  <c r="AC56" i="1"/>
  <c r="AC57" i="1"/>
  <c r="AC58" i="1"/>
  <c r="AC59" i="1"/>
  <c r="AC60" i="1"/>
  <c r="AC61" i="1"/>
  <c r="AC62" i="1"/>
  <c r="AC64" i="1"/>
  <c r="AC65" i="1"/>
  <c r="AC66" i="1"/>
  <c r="AC67" i="1"/>
  <c r="AC68" i="1"/>
  <c r="AC69" i="1"/>
  <c r="AC70" i="1"/>
  <c r="AC72" i="1"/>
  <c r="AC73" i="1"/>
  <c r="AC74" i="1"/>
  <c r="AC75" i="1"/>
  <c r="AC76" i="1"/>
  <c r="AC77" i="1"/>
  <c r="AC78" i="1"/>
  <c r="AC80" i="1"/>
  <c r="AC81" i="1"/>
  <c r="AC82" i="1"/>
  <c r="AC83" i="1"/>
  <c r="AC84" i="1"/>
  <c r="AC85" i="1"/>
  <c r="AC86" i="1"/>
  <c r="AC88" i="1"/>
  <c r="AC89" i="1"/>
  <c r="AC90" i="1"/>
  <c r="AC91" i="1"/>
  <c r="AC92" i="1"/>
  <c r="AC93" i="1"/>
  <c r="AC94" i="1"/>
  <c r="AC96" i="1"/>
  <c r="AC97" i="1"/>
  <c r="AC98" i="1"/>
  <c r="AC99" i="1"/>
  <c r="AC100" i="1"/>
  <c r="AC101" i="1"/>
  <c r="AC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1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7" i="1"/>
  <c r="E68" i="1"/>
  <c r="E69" i="1"/>
  <c r="E70" i="1"/>
  <c r="E71" i="1"/>
  <c r="E72" i="1"/>
  <c r="E73" i="1"/>
  <c r="E75" i="1"/>
  <c r="E76" i="1"/>
  <c r="E77" i="1"/>
  <c r="E78" i="1"/>
  <c r="E79" i="1"/>
  <c r="E80" i="1"/>
  <c r="E81" i="1"/>
  <c r="E83" i="1"/>
  <c r="E84" i="1"/>
  <c r="E85" i="1"/>
  <c r="E86" i="1"/>
  <c r="E87" i="1"/>
  <c r="E88" i="1"/>
  <c r="E89" i="1"/>
  <c r="E91" i="1"/>
  <c r="E92" i="1"/>
  <c r="E93" i="1"/>
  <c r="E94" i="1"/>
  <c r="E95" i="1"/>
  <c r="E96" i="1"/>
  <c r="E97" i="1"/>
  <c r="E99" i="1"/>
  <c r="E100" i="1"/>
  <c r="E101" i="1"/>
</calcChain>
</file>

<file path=xl/sharedStrings.xml><?xml version="1.0" encoding="utf-8"?>
<sst xmlns="http://schemas.openxmlformats.org/spreadsheetml/2006/main" count="40" uniqueCount="40">
  <si>
    <t>t_C1</t>
  </si>
  <si>
    <t>U_C1</t>
  </si>
  <si>
    <t>t_D1</t>
  </si>
  <si>
    <t>U_D1</t>
  </si>
  <si>
    <t>t_C2</t>
  </si>
  <si>
    <t>U_C2</t>
  </si>
  <si>
    <t>t_D2</t>
  </si>
  <si>
    <t>U_D2</t>
  </si>
  <si>
    <t>t_C3</t>
  </si>
  <si>
    <t>U_C3</t>
  </si>
  <si>
    <t>t_D3</t>
  </si>
  <si>
    <t>U_D3</t>
  </si>
  <si>
    <t>t_C4</t>
  </si>
  <si>
    <t>U_C4</t>
  </si>
  <si>
    <t>t_D4</t>
  </si>
  <si>
    <t>U_D4</t>
  </si>
  <si>
    <t>t_C5</t>
  </si>
  <si>
    <t>U_C5</t>
  </si>
  <si>
    <t>t_D5</t>
  </si>
  <si>
    <t>U_D5</t>
  </si>
  <si>
    <t>Capacité D1</t>
  </si>
  <si>
    <t>Capacité C2</t>
  </si>
  <si>
    <t>Capacité D2</t>
  </si>
  <si>
    <t>Capacité C3</t>
  </si>
  <si>
    <t>Capacité D3</t>
  </si>
  <si>
    <t>Capacité C4</t>
  </si>
  <si>
    <t>Capacité D4</t>
  </si>
  <si>
    <t>Capacité C5</t>
  </si>
  <si>
    <t>Capacité D5</t>
  </si>
  <si>
    <t>SoC C1</t>
  </si>
  <si>
    <t>SoC D1</t>
  </si>
  <si>
    <t>SoC C2</t>
  </si>
  <si>
    <t>SoC D2</t>
  </si>
  <si>
    <t>SoC C3</t>
  </si>
  <si>
    <t>SoC D3</t>
  </si>
  <si>
    <t>SoC C4</t>
  </si>
  <si>
    <t>SoC D4</t>
  </si>
  <si>
    <t>SoC C5</t>
  </si>
  <si>
    <t>SoC D5</t>
  </si>
  <si>
    <t>Capacité C1 (mA.h)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</si>
</sst>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Protection="0">
      <alignment horizontal="center" vertical="top"/>
    </xf>
  </cellStyleXfs>
  <cellXfs count="2">
    <xf numFmtId="0" fontId="0" fillId="0" borderId="0" xfId="0"/>
    <xf numFmtId="0" fontId="1" fillId="0" borderId="1" xfId="1">
      <alignment horizontal="center" vertical="top"/>
    </xf>
  </cellXfs>
  <cellStyles count="2">
    <cellStyle name="Normal" xfId="0" builtinId="0"/>
    <cellStyle name="pd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 la tension en fonction du temps d'aquisition d'une cellule électrochimique commérciale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46F-4D9C-9234-DD071ABB8698}"/>
            </c:ext>
          </c:extLst>
        </c:ser>
        <c:ser>
          <c:idx val="1"/>
          <c:order val="1"/>
          <c:tx>
            <c:v>Décharge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46F-4D9C-9234-DD071ABB8698}"/>
            </c:ext>
          </c:extLst>
        </c:ser>
        <c:ser>
          <c:idx val="2"/>
          <c:order val="2"/>
          <c:tx>
            <c:v>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Sheet1!$J$2:$J$101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46F-4D9C-9234-DD071ABB8698}"/>
            </c:ext>
          </c:extLst>
        </c:ser>
        <c:ser>
          <c:idx val="3"/>
          <c:order val="3"/>
          <c:tx>
            <c:v>Décharge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Sheet1!$N$2:$N$101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46F-4D9C-9234-DD071ABB8698}"/>
            </c:ext>
          </c:extLst>
        </c:ser>
        <c:ser>
          <c:idx val="4"/>
          <c:order val="4"/>
          <c:tx>
            <c:v>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Sheet1!$R$2:$R$101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46F-4D9C-9234-DD071ABB8698}"/>
            </c:ext>
          </c:extLst>
        </c:ser>
        <c:ser>
          <c:idx val="5"/>
          <c:order val="5"/>
          <c:tx>
            <c:v>Décharge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Sheet1!$V$2:$V$101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46F-4D9C-9234-DD071ABB8698}"/>
            </c:ext>
          </c:extLst>
        </c:ser>
        <c:ser>
          <c:idx val="6"/>
          <c:order val="6"/>
          <c:tx>
            <c:v>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Sheet1!$Z$2:$Z$101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46F-4D9C-9234-DD071ABB8698}"/>
            </c:ext>
          </c:extLst>
        </c:ser>
        <c:ser>
          <c:idx val="7"/>
          <c:order val="7"/>
          <c:tx>
            <c:v>Décharge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Sheet1!$AD$2:$AD$101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46F-4D9C-9234-DD071ABB8698}"/>
            </c:ext>
          </c:extLst>
        </c:ser>
        <c:ser>
          <c:idx val="8"/>
          <c:order val="8"/>
          <c:tx>
            <c:v>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46F-4D9C-9234-DD071ABB8698}"/>
            </c:ext>
          </c:extLst>
        </c:ser>
        <c:ser>
          <c:idx val="9"/>
          <c:order val="9"/>
          <c:tx>
            <c:v>Décharge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Sheet1!$AL$2:$AL$101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46F-4D9C-9234-DD071ABB8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317759"/>
        <c:axId val="686317343"/>
      </c:scatterChart>
      <c:valAx>
        <c:axId val="68631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d'aquisition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17343"/>
        <c:crosses val="autoZero"/>
        <c:crossBetween val="midCat"/>
      </c:valAx>
      <c:valAx>
        <c:axId val="6863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1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en fonction de la capacité d'une cellule électrochimique commérciale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3.1506288769501931</c:v>
                </c:pt>
                <c:pt idx="2">
                  <c:v>3.2516361718691358</c:v>
                </c:pt>
                <c:pt idx="3">
                  <c:v>3.3526434667880798</c:v>
                </c:pt>
                <c:pt idx="4">
                  <c:v>3.4536507617070216</c:v>
                </c:pt>
                <c:pt idx="5">
                  <c:v>3.554658056625966</c:v>
                </c:pt>
                <c:pt idx="6">
                  <c:v>3.6556653515449078</c:v>
                </c:pt>
                <c:pt idx="7">
                  <c:v>3.7566726464638496</c:v>
                </c:pt>
                <c:pt idx="8">
                  <c:v>3.857679941382794</c:v>
                </c:pt>
                <c:pt idx="9">
                  <c:v>3.9586872363017354</c:v>
                </c:pt>
                <c:pt idx="10">
                  <c:v>4.0596945312206802</c:v>
                </c:pt>
                <c:pt idx="11">
                  <c:v>4.160701826139622</c:v>
                </c:pt>
                <c:pt idx="12">
                  <c:v>4.2617091210585656</c:v>
                </c:pt>
                <c:pt idx="13">
                  <c:v>4.3627164159775074</c:v>
                </c:pt>
                <c:pt idx="14">
                  <c:v>4.4637237108964518</c:v>
                </c:pt>
                <c:pt idx="15">
                  <c:v>4.5647310058153936</c:v>
                </c:pt>
                <c:pt idx="16">
                  <c:v>4.665738300734338</c:v>
                </c:pt>
                <c:pt idx="17">
                  <c:v>4.7667455956532798</c:v>
                </c:pt>
                <c:pt idx="18">
                  <c:v>4.8677528905722243</c:v>
                </c:pt>
                <c:pt idx="19">
                  <c:v>4.968760185491166</c:v>
                </c:pt>
                <c:pt idx="20">
                  <c:v>5.0697674804101105</c:v>
                </c:pt>
                <c:pt idx="21">
                  <c:v>5.1707747753290523</c:v>
                </c:pt>
                <c:pt idx="22">
                  <c:v>5.2717820702479941</c:v>
                </c:pt>
                <c:pt idx="23">
                  <c:v>5.3727893651669385</c:v>
                </c:pt>
                <c:pt idx="24">
                  <c:v>5.4737966600858803</c:v>
                </c:pt>
                <c:pt idx="25">
                  <c:v>5.5748039550048247</c:v>
                </c:pt>
                <c:pt idx="26">
                  <c:v>5.6758112499237665</c:v>
                </c:pt>
                <c:pt idx="27">
                  <c:v>5.776818544842711</c:v>
                </c:pt>
                <c:pt idx="28">
                  <c:v>5.8778258397616572</c:v>
                </c:pt>
                <c:pt idx="29">
                  <c:v>5.9788331346806025</c:v>
                </c:pt>
                <c:pt idx="30">
                  <c:v>6.079840429599547</c:v>
                </c:pt>
                <c:pt idx="31">
                  <c:v>6.1808477245184914</c:v>
                </c:pt>
                <c:pt idx="32">
                  <c:v>6.2818550194374358</c:v>
                </c:pt>
                <c:pt idx="33">
                  <c:v>6.3828623143563803</c:v>
                </c:pt>
                <c:pt idx="34">
                  <c:v>6.4838696092753247</c:v>
                </c:pt>
                <c:pt idx="35">
                  <c:v>6.5848769041942408</c:v>
                </c:pt>
                <c:pt idx="36">
                  <c:v>6.6858841991131861</c:v>
                </c:pt>
                <c:pt idx="37">
                  <c:v>6.7868914940321297</c:v>
                </c:pt>
                <c:pt idx="38">
                  <c:v>6.887898788951075</c:v>
                </c:pt>
                <c:pt idx="39">
                  <c:v>6.9889060838700194</c:v>
                </c:pt>
                <c:pt idx="40">
                  <c:v>7.0899133787889639</c:v>
                </c:pt>
                <c:pt idx="41">
                  <c:v>7.1909206737079074</c:v>
                </c:pt>
                <c:pt idx="42">
                  <c:v>7.2919279686268528</c:v>
                </c:pt>
                <c:pt idx="43">
                  <c:v>7.3929352635457963</c:v>
                </c:pt>
                <c:pt idx="44">
                  <c:v>7.4939425584647417</c:v>
                </c:pt>
                <c:pt idx="45">
                  <c:v>7.5949498533836861</c:v>
                </c:pt>
                <c:pt idx="46">
                  <c:v>7.6959571483026297</c:v>
                </c:pt>
                <c:pt idx="47">
                  <c:v>7.7969644432215741</c:v>
                </c:pt>
                <c:pt idx="48">
                  <c:v>7.8979717381405186</c:v>
                </c:pt>
                <c:pt idx="49">
                  <c:v>7.998979033059463</c:v>
                </c:pt>
                <c:pt idx="50">
                  <c:v>8.0999863279784066</c:v>
                </c:pt>
                <c:pt idx="51">
                  <c:v>8.2009936228973519</c:v>
                </c:pt>
                <c:pt idx="52">
                  <c:v>8.3020009178162972</c:v>
                </c:pt>
                <c:pt idx="53">
                  <c:v>8.4030082127352408</c:v>
                </c:pt>
                <c:pt idx="54">
                  <c:v>8.5040155076541577</c:v>
                </c:pt>
                <c:pt idx="55">
                  <c:v>8.605022802573103</c:v>
                </c:pt>
                <c:pt idx="56">
                  <c:v>8.7060300974920466</c:v>
                </c:pt>
                <c:pt idx="57">
                  <c:v>8.8070373924109902</c:v>
                </c:pt>
                <c:pt idx="58">
                  <c:v>8.9080446873299337</c:v>
                </c:pt>
                <c:pt idx="59">
                  <c:v>9.0090519822488808</c:v>
                </c:pt>
                <c:pt idx="60">
                  <c:v>9.1100592771678244</c:v>
                </c:pt>
                <c:pt idx="61">
                  <c:v>9.2110665720867679</c:v>
                </c:pt>
                <c:pt idx="62">
                  <c:v>9.3120738670057115</c:v>
                </c:pt>
                <c:pt idx="63">
                  <c:v>9.4130811619246568</c:v>
                </c:pt>
                <c:pt idx="64">
                  <c:v>9.5140884568436022</c:v>
                </c:pt>
                <c:pt idx="65">
                  <c:v>9.6150957517625457</c:v>
                </c:pt>
                <c:pt idx="66">
                  <c:v>9.7161030466814911</c:v>
                </c:pt>
                <c:pt idx="67">
                  <c:v>9.8171103416004364</c:v>
                </c:pt>
                <c:pt idx="68">
                  <c:v>9.9181176365193799</c:v>
                </c:pt>
                <c:pt idx="69">
                  <c:v>10.019124931438324</c:v>
                </c:pt>
                <c:pt idx="70">
                  <c:v>10.120132226357269</c:v>
                </c:pt>
                <c:pt idx="71">
                  <c:v>10.221139521276214</c:v>
                </c:pt>
                <c:pt idx="72">
                  <c:v>10.322146816195158</c:v>
                </c:pt>
                <c:pt idx="73">
                  <c:v>10.423154111114075</c:v>
                </c:pt>
                <c:pt idx="74">
                  <c:v>10.524161406033018</c:v>
                </c:pt>
                <c:pt idx="75">
                  <c:v>10.625168700951964</c:v>
                </c:pt>
                <c:pt idx="76">
                  <c:v>10.726175995870907</c:v>
                </c:pt>
                <c:pt idx="77">
                  <c:v>10.827183290789852</c:v>
                </c:pt>
                <c:pt idx="78">
                  <c:v>10.928190585708798</c:v>
                </c:pt>
                <c:pt idx="79">
                  <c:v>11.029197880627741</c:v>
                </c:pt>
                <c:pt idx="80">
                  <c:v>11.130205175546685</c:v>
                </c:pt>
                <c:pt idx="81">
                  <c:v>11.23121247046563</c:v>
                </c:pt>
                <c:pt idx="82">
                  <c:v>11.332219765384574</c:v>
                </c:pt>
                <c:pt idx="83">
                  <c:v>11.433227060303519</c:v>
                </c:pt>
                <c:pt idx="84">
                  <c:v>11.534234355222463</c:v>
                </c:pt>
                <c:pt idx="85">
                  <c:v>11.635241650141408</c:v>
                </c:pt>
                <c:pt idx="86">
                  <c:v>11.736248945060352</c:v>
                </c:pt>
                <c:pt idx="87">
                  <c:v>11.837256239979295</c:v>
                </c:pt>
                <c:pt idx="88">
                  <c:v>11.93826353489824</c:v>
                </c:pt>
                <c:pt idx="89">
                  <c:v>12.039270829817186</c:v>
                </c:pt>
                <c:pt idx="90">
                  <c:v>12.140278124736129</c:v>
                </c:pt>
                <c:pt idx="91">
                  <c:v>12.241285419655046</c:v>
                </c:pt>
                <c:pt idx="92">
                  <c:v>12.342292714573992</c:v>
                </c:pt>
                <c:pt idx="93">
                  <c:v>12.443300009492937</c:v>
                </c:pt>
                <c:pt idx="94">
                  <c:v>12.54430730441188</c:v>
                </c:pt>
                <c:pt idx="95">
                  <c:v>12.645314599330826</c:v>
                </c:pt>
                <c:pt idx="96">
                  <c:v>12.746321894249769</c:v>
                </c:pt>
                <c:pt idx="97">
                  <c:v>12.847329189168715</c:v>
                </c:pt>
                <c:pt idx="98">
                  <c:v>12.94833648408766</c:v>
                </c:pt>
                <c:pt idx="99">
                  <c:v>13.049343779006602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BA5-48DB-8D03-38888921E28B}"/>
            </c:ext>
          </c:extLst>
        </c:ser>
        <c:ser>
          <c:idx val="1"/>
          <c:order val="1"/>
          <c:tx>
            <c:v>Décharge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13.049343779006602</c:v>
                </c:pt>
                <c:pt idx="1">
                  <c:v>12.948336484087658</c:v>
                </c:pt>
                <c:pt idx="2">
                  <c:v>12.847329189168713</c:v>
                </c:pt>
                <c:pt idx="3">
                  <c:v>12.746321894249768</c:v>
                </c:pt>
                <c:pt idx="4">
                  <c:v>12.645314599330824</c:v>
                </c:pt>
                <c:pt idx="5">
                  <c:v>12.54430730441188</c:v>
                </c:pt>
                <c:pt idx="6">
                  <c:v>12.443300009492937</c:v>
                </c:pt>
                <c:pt idx="7">
                  <c:v>12.342292714573992</c:v>
                </c:pt>
                <c:pt idx="8">
                  <c:v>12.241285419655046</c:v>
                </c:pt>
                <c:pt idx="9">
                  <c:v>12.140278124736103</c:v>
                </c:pt>
                <c:pt idx="10">
                  <c:v>12.039270829817157</c:v>
                </c:pt>
                <c:pt idx="11">
                  <c:v>11.93826353489824</c:v>
                </c:pt>
                <c:pt idx="12">
                  <c:v>11.837256239979297</c:v>
                </c:pt>
                <c:pt idx="13">
                  <c:v>11.736248945060352</c:v>
                </c:pt>
                <c:pt idx="14">
                  <c:v>11.635241650141408</c:v>
                </c:pt>
                <c:pt idx="15">
                  <c:v>11.534234355222463</c:v>
                </c:pt>
                <c:pt idx="16">
                  <c:v>11.433227060303517</c:v>
                </c:pt>
                <c:pt idx="17">
                  <c:v>11.332219765384576</c:v>
                </c:pt>
                <c:pt idx="18">
                  <c:v>11.23121247046563</c:v>
                </c:pt>
                <c:pt idx="19">
                  <c:v>11.130205175546687</c:v>
                </c:pt>
                <c:pt idx="20">
                  <c:v>11.029197880627741</c:v>
                </c:pt>
                <c:pt idx="21">
                  <c:v>10.928190585708796</c:v>
                </c:pt>
                <c:pt idx="22">
                  <c:v>10.827183290789852</c:v>
                </c:pt>
                <c:pt idx="23">
                  <c:v>10.726175995870907</c:v>
                </c:pt>
                <c:pt idx="24">
                  <c:v>10.625168700951964</c:v>
                </c:pt>
                <c:pt idx="25">
                  <c:v>10.524161406033018</c:v>
                </c:pt>
                <c:pt idx="26">
                  <c:v>10.423154111114073</c:v>
                </c:pt>
                <c:pt idx="27">
                  <c:v>10.322146816195129</c:v>
                </c:pt>
                <c:pt idx="28">
                  <c:v>10.221139521276186</c:v>
                </c:pt>
                <c:pt idx="29">
                  <c:v>10.120132226357242</c:v>
                </c:pt>
                <c:pt idx="30">
                  <c:v>10.019124931438297</c:v>
                </c:pt>
                <c:pt idx="31">
                  <c:v>9.9181176365193799</c:v>
                </c:pt>
                <c:pt idx="32">
                  <c:v>9.8171103416004364</c:v>
                </c:pt>
                <c:pt idx="33">
                  <c:v>9.7161030466814911</c:v>
                </c:pt>
                <c:pt idx="34">
                  <c:v>9.6150957517625457</c:v>
                </c:pt>
                <c:pt idx="35">
                  <c:v>9.5140884568436022</c:v>
                </c:pt>
                <c:pt idx="36">
                  <c:v>9.4130811619246568</c:v>
                </c:pt>
                <c:pt idx="37">
                  <c:v>9.312073867005715</c:v>
                </c:pt>
                <c:pt idx="38">
                  <c:v>9.2110665720867679</c:v>
                </c:pt>
                <c:pt idx="39">
                  <c:v>9.1100592771678244</c:v>
                </c:pt>
                <c:pt idx="40">
                  <c:v>9.0090519822488808</c:v>
                </c:pt>
                <c:pt idx="41">
                  <c:v>8.9080446873299337</c:v>
                </c:pt>
                <c:pt idx="42">
                  <c:v>8.8070373924109919</c:v>
                </c:pt>
                <c:pt idx="43">
                  <c:v>8.7060300974920466</c:v>
                </c:pt>
                <c:pt idx="44">
                  <c:v>8.6050228025731013</c:v>
                </c:pt>
                <c:pt idx="45">
                  <c:v>8.5040155076541577</c:v>
                </c:pt>
                <c:pt idx="46">
                  <c:v>8.4030082127352124</c:v>
                </c:pt>
                <c:pt idx="47">
                  <c:v>8.3020009178162688</c:v>
                </c:pt>
                <c:pt idx="48">
                  <c:v>8.2009936228973253</c:v>
                </c:pt>
                <c:pt idx="49">
                  <c:v>8.0999863279783781</c:v>
                </c:pt>
                <c:pt idx="50">
                  <c:v>7.9989790330594355</c:v>
                </c:pt>
                <c:pt idx="51">
                  <c:v>7.8979717381405186</c:v>
                </c:pt>
                <c:pt idx="52">
                  <c:v>7.7969644432215732</c:v>
                </c:pt>
                <c:pt idx="53">
                  <c:v>7.6959571483026306</c:v>
                </c:pt>
                <c:pt idx="54">
                  <c:v>7.5949498533836852</c:v>
                </c:pt>
                <c:pt idx="55">
                  <c:v>7.4939425584647417</c:v>
                </c:pt>
                <c:pt idx="56">
                  <c:v>7.3929352635457963</c:v>
                </c:pt>
                <c:pt idx="57">
                  <c:v>7.291927968626851</c:v>
                </c:pt>
                <c:pt idx="58">
                  <c:v>7.1909206737079083</c:v>
                </c:pt>
                <c:pt idx="59">
                  <c:v>7.089913378788963</c:v>
                </c:pt>
                <c:pt idx="60">
                  <c:v>6.9889060838700194</c:v>
                </c:pt>
                <c:pt idx="61">
                  <c:v>6.8878987889510741</c:v>
                </c:pt>
                <c:pt idx="62">
                  <c:v>6.7868914940321288</c:v>
                </c:pt>
                <c:pt idx="63">
                  <c:v>6.6858841991131861</c:v>
                </c:pt>
                <c:pt idx="64">
                  <c:v>6.5848769041942408</c:v>
                </c:pt>
                <c:pt idx="65">
                  <c:v>6.4838696092752972</c:v>
                </c:pt>
                <c:pt idx="66">
                  <c:v>6.3828623143563519</c:v>
                </c:pt>
                <c:pt idx="67">
                  <c:v>6.2818550194374083</c:v>
                </c:pt>
                <c:pt idx="68">
                  <c:v>6.180847724518463</c:v>
                </c:pt>
                <c:pt idx="69">
                  <c:v>6.0798404295995185</c:v>
                </c:pt>
                <c:pt idx="70">
                  <c:v>5.978833134680575</c:v>
                </c:pt>
                <c:pt idx="71">
                  <c:v>5.8778258397616581</c:v>
                </c:pt>
                <c:pt idx="72">
                  <c:v>5.7768185448427127</c:v>
                </c:pt>
                <c:pt idx="73">
                  <c:v>5.6758112499237692</c:v>
                </c:pt>
                <c:pt idx="74">
                  <c:v>5.5748039550048238</c:v>
                </c:pt>
                <c:pt idx="75">
                  <c:v>5.4737966600858785</c:v>
                </c:pt>
                <c:pt idx="76">
                  <c:v>5.3727893651669358</c:v>
                </c:pt>
                <c:pt idx="77">
                  <c:v>5.2717820702479905</c:v>
                </c:pt>
                <c:pt idx="78">
                  <c:v>5.1707747753290469</c:v>
                </c:pt>
                <c:pt idx="79">
                  <c:v>5.0697674804101016</c:v>
                </c:pt>
                <c:pt idx="80">
                  <c:v>4.9687601854911581</c:v>
                </c:pt>
                <c:pt idx="81">
                  <c:v>4.8677528905722127</c:v>
                </c:pt>
                <c:pt idx="82">
                  <c:v>4.7667455956532709</c:v>
                </c:pt>
                <c:pt idx="83">
                  <c:v>4.6657383007343221</c:v>
                </c:pt>
                <c:pt idx="84">
                  <c:v>4.5647310058153803</c:v>
                </c:pt>
                <c:pt idx="85">
                  <c:v>4.4637237108964367</c:v>
                </c:pt>
                <c:pt idx="86">
                  <c:v>4.3627164159774896</c:v>
                </c:pt>
                <c:pt idx="87">
                  <c:v>4.261709121058546</c:v>
                </c:pt>
                <c:pt idx="88">
                  <c:v>4.1607018261396025</c:v>
                </c:pt>
                <c:pt idx="89">
                  <c:v>4.0596945312206589</c:v>
                </c:pt>
                <c:pt idx="90">
                  <c:v>3.9586872363017118</c:v>
                </c:pt>
                <c:pt idx="91">
                  <c:v>3.8576799413827967</c:v>
                </c:pt>
                <c:pt idx="92">
                  <c:v>3.7566726464638531</c:v>
                </c:pt>
                <c:pt idx="93">
                  <c:v>3.655665351544906</c:v>
                </c:pt>
                <c:pt idx="94">
                  <c:v>3.5546580566259642</c:v>
                </c:pt>
                <c:pt idx="95">
                  <c:v>3.4536507617070207</c:v>
                </c:pt>
                <c:pt idx="96">
                  <c:v>3.3526434667880736</c:v>
                </c:pt>
                <c:pt idx="97">
                  <c:v>3.25163617186913</c:v>
                </c:pt>
                <c:pt idx="98">
                  <c:v>3.1506288769501865</c:v>
                </c:pt>
                <c:pt idx="99">
                  <c:v>3.0496215820312393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BA5-48DB-8D03-38888921E28B}"/>
            </c:ext>
          </c:extLst>
        </c:ser>
        <c:ser>
          <c:idx val="2"/>
          <c:order val="2"/>
          <c:tx>
            <c:v>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Sheet1!$L$2:$L$101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2.9989565136689431</c:v>
                </c:pt>
                <c:pt idx="2">
                  <c:v>3.0999638085878867</c:v>
                </c:pt>
                <c:pt idx="3">
                  <c:v>3.2009711035068338</c:v>
                </c:pt>
                <c:pt idx="4">
                  <c:v>3.3019783984257769</c:v>
                </c:pt>
                <c:pt idx="5">
                  <c:v>3.4029856933447205</c:v>
                </c:pt>
                <c:pt idx="6">
                  <c:v>3.5039929882636636</c:v>
                </c:pt>
                <c:pt idx="7">
                  <c:v>3.6050002831826107</c:v>
                </c:pt>
                <c:pt idx="8">
                  <c:v>3.7060075781015538</c:v>
                </c:pt>
                <c:pt idx="9">
                  <c:v>3.8070148730204973</c:v>
                </c:pt>
                <c:pt idx="10">
                  <c:v>3.9080221679394445</c:v>
                </c:pt>
                <c:pt idx="11">
                  <c:v>4.009029462858388</c:v>
                </c:pt>
                <c:pt idx="12">
                  <c:v>4.1100367577773316</c:v>
                </c:pt>
                <c:pt idx="13">
                  <c:v>4.2110440526962742</c:v>
                </c:pt>
                <c:pt idx="14">
                  <c:v>4.3120513476152214</c:v>
                </c:pt>
                <c:pt idx="15">
                  <c:v>4.4130586425341649</c:v>
                </c:pt>
                <c:pt idx="16">
                  <c:v>4.5140659374531076</c:v>
                </c:pt>
                <c:pt idx="17">
                  <c:v>4.6150732323720556</c:v>
                </c:pt>
                <c:pt idx="18">
                  <c:v>4.7160805272909982</c:v>
                </c:pt>
                <c:pt idx="19">
                  <c:v>4.8170878222099418</c:v>
                </c:pt>
                <c:pt idx="20">
                  <c:v>4.9180951171288889</c:v>
                </c:pt>
                <c:pt idx="21">
                  <c:v>5.0191024120478325</c:v>
                </c:pt>
                <c:pt idx="22">
                  <c:v>5.120109706966776</c:v>
                </c:pt>
                <c:pt idx="23">
                  <c:v>5.2211170018857187</c:v>
                </c:pt>
                <c:pt idx="24">
                  <c:v>5.3221242968046667</c:v>
                </c:pt>
                <c:pt idx="25">
                  <c:v>5.4231315917236094</c:v>
                </c:pt>
                <c:pt idx="26">
                  <c:v>5.524138886642552</c:v>
                </c:pt>
                <c:pt idx="27">
                  <c:v>5.6251461815615</c:v>
                </c:pt>
                <c:pt idx="28">
                  <c:v>5.7261534764804427</c:v>
                </c:pt>
                <c:pt idx="29">
                  <c:v>5.8271607713993863</c:v>
                </c:pt>
                <c:pt idx="30">
                  <c:v>5.9281680663183334</c:v>
                </c:pt>
                <c:pt idx="31">
                  <c:v>6.0291753612372769</c:v>
                </c:pt>
                <c:pt idx="32">
                  <c:v>6.1301826561562205</c:v>
                </c:pt>
                <c:pt idx="33">
                  <c:v>6.2311899510751632</c:v>
                </c:pt>
                <c:pt idx="34">
                  <c:v>6.3321972459941112</c:v>
                </c:pt>
                <c:pt idx="35">
                  <c:v>6.4332045409130538</c:v>
                </c:pt>
                <c:pt idx="36">
                  <c:v>6.5342118358319965</c:v>
                </c:pt>
                <c:pt idx="37">
                  <c:v>6.6352191307509445</c:v>
                </c:pt>
                <c:pt idx="38">
                  <c:v>6.7362264256698872</c:v>
                </c:pt>
                <c:pt idx="39">
                  <c:v>6.8372337205888307</c:v>
                </c:pt>
                <c:pt idx="40">
                  <c:v>6.9382410155077778</c:v>
                </c:pt>
                <c:pt idx="41">
                  <c:v>7.0392483104267214</c:v>
                </c:pt>
                <c:pt idx="42">
                  <c:v>7.1402556053456649</c:v>
                </c:pt>
                <c:pt idx="43">
                  <c:v>7.2412629002646076</c:v>
                </c:pt>
                <c:pt idx="44">
                  <c:v>7.3422701951835556</c:v>
                </c:pt>
                <c:pt idx="45">
                  <c:v>7.4432774901024983</c:v>
                </c:pt>
                <c:pt idx="46">
                  <c:v>7.5442847850214418</c:v>
                </c:pt>
                <c:pt idx="47">
                  <c:v>7.645292079940389</c:v>
                </c:pt>
                <c:pt idx="48">
                  <c:v>7.7462993748593325</c:v>
                </c:pt>
                <c:pt idx="49">
                  <c:v>7.8473066697782752</c:v>
                </c:pt>
                <c:pt idx="50">
                  <c:v>7.9483139646972223</c:v>
                </c:pt>
                <c:pt idx="51">
                  <c:v>8.0493212596161374</c:v>
                </c:pt>
                <c:pt idx="52">
                  <c:v>8.1503285545351094</c:v>
                </c:pt>
                <c:pt idx="53">
                  <c:v>8.2513358494540512</c:v>
                </c:pt>
                <c:pt idx="54">
                  <c:v>8.3523431443730001</c:v>
                </c:pt>
                <c:pt idx="55">
                  <c:v>8.4533504392919134</c:v>
                </c:pt>
                <c:pt idx="56">
                  <c:v>8.554357734210857</c:v>
                </c:pt>
                <c:pt idx="57">
                  <c:v>8.6553650291298325</c:v>
                </c:pt>
                <c:pt idx="58">
                  <c:v>8.7563723240487477</c:v>
                </c:pt>
                <c:pt idx="59">
                  <c:v>8.8573796189676912</c:v>
                </c:pt>
                <c:pt idx="60">
                  <c:v>8.9583869138866383</c:v>
                </c:pt>
                <c:pt idx="61">
                  <c:v>9.0593942088055819</c:v>
                </c:pt>
                <c:pt idx="62">
                  <c:v>9.1604015037245254</c:v>
                </c:pt>
                <c:pt idx="63">
                  <c:v>9.2614087986434726</c:v>
                </c:pt>
                <c:pt idx="64">
                  <c:v>9.3624160935624161</c:v>
                </c:pt>
                <c:pt idx="65">
                  <c:v>9.4634233884813597</c:v>
                </c:pt>
                <c:pt idx="66">
                  <c:v>9.5644306834003032</c:v>
                </c:pt>
                <c:pt idx="67">
                  <c:v>9.6654379783192503</c:v>
                </c:pt>
                <c:pt idx="68">
                  <c:v>9.7664452732381939</c:v>
                </c:pt>
                <c:pt idx="69">
                  <c:v>9.8674525681571374</c:v>
                </c:pt>
                <c:pt idx="70">
                  <c:v>9.9684598630760846</c:v>
                </c:pt>
                <c:pt idx="71">
                  <c:v>10.069467157995026</c:v>
                </c:pt>
                <c:pt idx="72">
                  <c:v>10.17047445291397</c:v>
                </c:pt>
                <c:pt idx="73">
                  <c:v>10.271481747832913</c:v>
                </c:pt>
                <c:pt idx="74">
                  <c:v>10.372489042751861</c:v>
                </c:pt>
                <c:pt idx="75">
                  <c:v>10.473496337670804</c:v>
                </c:pt>
                <c:pt idx="76">
                  <c:v>10.574503632589746</c:v>
                </c:pt>
                <c:pt idx="77">
                  <c:v>10.675510927508803</c:v>
                </c:pt>
                <c:pt idx="78">
                  <c:v>10.776518222427693</c:v>
                </c:pt>
                <c:pt idx="79">
                  <c:v>10.87752551734658</c:v>
                </c:pt>
                <c:pt idx="80">
                  <c:v>10.978532812265472</c:v>
                </c:pt>
                <c:pt idx="81">
                  <c:v>11.079540107184359</c:v>
                </c:pt>
                <c:pt idx="82">
                  <c:v>11.180547402103528</c:v>
                </c:pt>
                <c:pt idx="83">
                  <c:v>11.281554697022415</c:v>
                </c:pt>
                <c:pt idx="84">
                  <c:v>11.382561991941305</c:v>
                </c:pt>
                <c:pt idx="85">
                  <c:v>11.483569286860192</c:v>
                </c:pt>
                <c:pt idx="86">
                  <c:v>11.584576581779082</c:v>
                </c:pt>
                <c:pt idx="87">
                  <c:v>11.685583876698248</c:v>
                </c:pt>
                <c:pt idx="88">
                  <c:v>11.786591171617138</c:v>
                </c:pt>
                <c:pt idx="89">
                  <c:v>11.887598466536025</c:v>
                </c:pt>
                <c:pt idx="90">
                  <c:v>11.988605761454917</c:v>
                </c:pt>
                <c:pt idx="91">
                  <c:v>12.089613056373803</c:v>
                </c:pt>
                <c:pt idx="92">
                  <c:v>12.190620351292973</c:v>
                </c:pt>
                <c:pt idx="93">
                  <c:v>12.291627646211859</c:v>
                </c:pt>
                <c:pt idx="94">
                  <c:v>12.392634941130749</c:v>
                </c:pt>
                <c:pt idx="95">
                  <c:v>12.493642236049636</c:v>
                </c:pt>
                <c:pt idx="96">
                  <c:v>12.594649530968526</c:v>
                </c:pt>
                <c:pt idx="97">
                  <c:v>12.695656825887692</c:v>
                </c:pt>
                <c:pt idx="98">
                  <c:v>12.796664120806582</c:v>
                </c:pt>
                <c:pt idx="99">
                  <c:v>12.897671415725469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BA5-48DB-8D03-38888921E28B}"/>
            </c:ext>
          </c:extLst>
        </c:ser>
        <c:ser>
          <c:idx val="3"/>
          <c:order val="3"/>
          <c:tx>
            <c:v>Décharge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Sheet1!$P$2:$P$101</c:f>
              <c:numCache>
                <c:formatCode>General</c:formatCode>
                <c:ptCount val="100"/>
                <c:pt idx="0">
                  <c:v>12.897671415725469</c:v>
                </c:pt>
                <c:pt idx="1">
                  <c:v>12.796664120806582</c:v>
                </c:pt>
                <c:pt idx="2">
                  <c:v>12.695656825887692</c:v>
                </c:pt>
                <c:pt idx="3">
                  <c:v>12.594649530968526</c:v>
                </c:pt>
                <c:pt idx="4">
                  <c:v>12.493642236049636</c:v>
                </c:pt>
                <c:pt idx="5">
                  <c:v>12.392634941130749</c:v>
                </c:pt>
                <c:pt idx="6">
                  <c:v>12.291627646211857</c:v>
                </c:pt>
                <c:pt idx="7">
                  <c:v>12.190620351292971</c:v>
                </c:pt>
                <c:pt idx="8">
                  <c:v>12.089613056373802</c:v>
                </c:pt>
                <c:pt idx="9">
                  <c:v>11.988605761454915</c:v>
                </c:pt>
                <c:pt idx="10">
                  <c:v>11.887598466536025</c:v>
                </c:pt>
                <c:pt idx="11">
                  <c:v>11.786591171617138</c:v>
                </c:pt>
                <c:pt idx="12">
                  <c:v>11.685583876698248</c:v>
                </c:pt>
                <c:pt idx="13">
                  <c:v>11.584576581779082</c:v>
                </c:pt>
                <c:pt idx="14">
                  <c:v>11.483569286860192</c:v>
                </c:pt>
                <c:pt idx="15">
                  <c:v>11.382561991941305</c:v>
                </c:pt>
                <c:pt idx="16">
                  <c:v>11.281554697022413</c:v>
                </c:pt>
                <c:pt idx="17">
                  <c:v>11.180547402103526</c:v>
                </c:pt>
                <c:pt idx="18">
                  <c:v>11.079540107184357</c:v>
                </c:pt>
                <c:pt idx="19">
                  <c:v>10.97853281226547</c:v>
                </c:pt>
                <c:pt idx="20">
                  <c:v>10.87752551734658</c:v>
                </c:pt>
                <c:pt idx="21">
                  <c:v>10.776518222427693</c:v>
                </c:pt>
                <c:pt idx="22">
                  <c:v>10.675510927508803</c:v>
                </c:pt>
                <c:pt idx="23">
                  <c:v>10.574503632589638</c:v>
                </c:pt>
                <c:pt idx="24">
                  <c:v>10.473496337670746</c:v>
                </c:pt>
                <c:pt idx="25">
                  <c:v>10.372489042751859</c:v>
                </c:pt>
                <c:pt idx="26">
                  <c:v>10.271481747832969</c:v>
                </c:pt>
                <c:pt idx="27">
                  <c:v>10.170474452914082</c:v>
                </c:pt>
                <c:pt idx="28">
                  <c:v>10.069467157994913</c:v>
                </c:pt>
                <c:pt idx="29">
                  <c:v>9.9684598630760259</c:v>
                </c:pt>
                <c:pt idx="30">
                  <c:v>9.8674525681571357</c:v>
                </c:pt>
                <c:pt idx="31">
                  <c:v>9.766445273238249</c:v>
                </c:pt>
                <c:pt idx="32">
                  <c:v>9.6654379783193587</c:v>
                </c:pt>
                <c:pt idx="33">
                  <c:v>9.5644306834001931</c:v>
                </c:pt>
                <c:pt idx="34">
                  <c:v>9.4634233884813028</c:v>
                </c:pt>
                <c:pt idx="35">
                  <c:v>9.3624160935624161</c:v>
                </c:pt>
                <c:pt idx="36">
                  <c:v>9.2614087986435241</c:v>
                </c:pt>
                <c:pt idx="37">
                  <c:v>9.1604015037246374</c:v>
                </c:pt>
                <c:pt idx="38">
                  <c:v>9.0593942088054682</c:v>
                </c:pt>
                <c:pt idx="39">
                  <c:v>8.9583869138865815</c:v>
                </c:pt>
                <c:pt idx="40">
                  <c:v>8.8573796189676912</c:v>
                </c:pt>
                <c:pt idx="41">
                  <c:v>8.7563723240488045</c:v>
                </c:pt>
                <c:pt idx="42">
                  <c:v>8.6553650291299142</c:v>
                </c:pt>
                <c:pt idx="43">
                  <c:v>8.5543577342107469</c:v>
                </c:pt>
                <c:pt idx="44">
                  <c:v>8.4533504392918566</c:v>
                </c:pt>
                <c:pt idx="45">
                  <c:v>8.3523431443729699</c:v>
                </c:pt>
                <c:pt idx="46">
                  <c:v>8.2513358494540796</c:v>
                </c:pt>
                <c:pt idx="47">
                  <c:v>8.1503285545351929</c:v>
                </c:pt>
                <c:pt idx="48">
                  <c:v>8.0493212596160237</c:v>
                </c:pt>
                <c:pt idx="49">
                  <c:v>7.948313964697137</c:v>
                </c:pt>
                <c:pt idx="50">
                  <c:v>7.8473066697782468</c:v>
                </c:pt>
                <c:pt idx="51">
                  <c:v>7.74629937485936</c:v>
                </c:pt>
                <c:pt idx="52">
                  <c:v>7.6452920799401944</c:v>
                </c:pt>
                <c:pt idx="53">
                  <c:v>7.5442847850213033</c:v>
                </c:pt>
                <c:pt idx="54">
                  <c:v>7.443277490102413</c:v>
                </c:pt>
                <c:pt idx="55">
                  <c:v>7.3422701951835263</c:v>
                </c:pt>
                <c:pt idx="56">
                  <c:v>7.2412629002646351</c:v>
                </c:pt>
                <c:pt idx="57">
                  <c:v>7.1402556053454695</c:v>
                </c:pt>
                <c:pt idx="58">
                  <c:v>7.0392483104265828</c:v>
                </c:pt>
                <c:pt idx="59">
                  <c:v>6.9382410155076926</c:v>
                </c:pt>
                <c:pt idx="60">
                  <c:v>6.8372337205888014</c:v>
                </c:pt>
                <c:pt idx="61">
                  <c:v>6.7362264256699147</c:v>
                </c:pt>
                <c:pt idx="62">
                  <c:v>6.63521913075075</c:v>
                </c:pt>
                <c:pt idx="63">
                  <c:v>6.5342118358318588</c:v>
                </c:pt>
                <c:pt idx="64">
                  <c:v>6.4332045409129686</c:v>
                </c:pt>
                <c:pt idx="65">
                  <c:v>6.3321972459940774</c:v>
                </c:pt>
                <c:pt idx="66">
                  <c:v>6.2311899510751951</c:v>
                </c:pt>
                <c:pt idx="67">
                  <c:v>6.1301826561560295</c:v>
                </c:pt>
                <c:pt idx="68">
                  <c:v>6.0291753612371384</c:v>
                </c:pt>
                <c:pt idx="69">
                  <c:v>5.9281680663182481</c:v>
                </c:pt>
                <c:pt idx="70">
                  <c:v>5.827160771399357</c:v>
                </c:pt>
                <c:pt idx="71">
                  <c:v>5.7261534764804667</c:v>
                </c:pt>
                <c:pt idx="72">
                  <c:v>5.6251461815613011</c:v>
                </c:pt>
                <c:pt idx="73">
                  <c:v>5.5241388866424188</c:v>
                </c:pt>
                <c:pt idx="74">
                  <c:v>5.4231315917235277</c:v>
                </c:pt>
                <c:pt idx="75">
                  <c:v>5.3221242968046374</c:v>
                </c:pt>
                <c:pt idx="76">
                  <c:v>5.2211170018857462</c:v>
                </c:pt>
                <c:pt idx="77">
                  <c:v>5.1201097069665806</c:v>
                </c:pt>
                <c:pt idx="78">
                  <c:v>5.0191024120476904</c:v>
                </c:pt>
                <c:pt idx="79">
                  <c:v>4.9180951171288072</c:v>
                </c:pt>
                <c:pt idx="80">
                  <c:v>4.8170878222099169</c:v>
                </c:pt>
                <c:pt idx="81">
                  <c:v>4.7160805272910267</c:v>
                </c:pt>
                <c:pt idx="82">
                  <c:v>4.6150732323718611</c:v>
                </c:pt>
                <c:pt idx="83">
                  <c:v>4.514065937452969</c:v>
                </c:pt>
                <c:pt idx="84">
                  <c:v>4.4130586425340788</c:v>
                </c:pt>
                <c:pt idx="85">
                  <c:v>4.3120513476151885</c:v>
                </c:pt>
                <c:pt idx="86">
                  <c:v>4.2110440526963053</c:v>
                </c:pt>
                <c:pt idx="87">
                  <c:v>4.1100367577771397</c:v>
                </c:pt>
                <c:pt idx="88">
                  <c:v>4.0090294628582495</c:v>
                </c:pt>
                <c:pt idx="89">
                  <c:v>3.9080221679393592</c:v>
                </c:pt>
                <c:pt idx="90">
                  <c:v>3.8070148730204689</c:v>
                </c:pt>
                <c:pt idx="91">
                  <c:v>3.7060075781015769</c:v>
                </c:pt>
                <c:pt idx="92">
                  <c:v>3.6050002831824113</c:v>
                </c:pt>
                <c:pt idx="93">
                  <c:v>3.5039929882635299</c:v>
                </c:pt>
                <c:pt idx="94">
                  <c:v>3.4029856933446379</c:v>
                </c:pt>
                <c:pt idx="95">
                  <c:v>3.3019783984257476</c:v>
                </c:pt>
                <c:pt idx="96">
                  <c:v>3.2009711035068573</c:v>
                </c:pt>
                <c:pt idx="97">
                  <c:v>3.0999638085876917</c:v>
                </c:pt>
                <c:pt idx="98">
                  <c:v>2.9989565136688014</c:v>
                </c:pt>
                <c:pt idx="99">
                  <c:v>2.8979492187499183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BA5-48DB-8D03-38888921E28B}"/>
            </c:ext>
          </c:extLst>
        </c:ser>
        <c:ser>
          <c:idx val="4"/>
          <c:order val="4"/>
          <c:tx>
            <c:v>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Sheet1!$T$2:$T$101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3.0020082714813907</c:v>
                </c:pt>
                <c:pt idx="2">
                  <c:v>3.1030155664002814</c:v>
                </c:pt>
                <c:pt idx="3">
                  <c:v>3.204022861319447</c:v>
                </c:pt>
                <c:pt idx="4">
                  <c:v>3.3050301562383377</c:v>
                </c:pt>
                <c:pt idx="5">
                  <c:v>3.4060374511572284</c:v>
                </c:pt>
                <c:pt idx="6">
                  <c:v>3.5070447460761107</c:v>
                </c:pt>
                <c:pt idx="7">
                  <c:v>3.6080520409950019</c:v>
                </c:pt>
                <c:pt idx="8">
                  <c:v>3.7090593359141675</c:v>
                </c:pt>
                <c:pt idx="9">
                  <c:v>3.8100666308330577</c:v>
                </c:pt>
                <c:pt idx="10">
                  <c:v>3.9110739257519489</c:v>
                </c:pt>
                <c:pt idx="11">
                  <c:v>4.0120812206708392</c:v>
                </c:pt>
                <c:pt idx="12">
                  <c:v>4.1130885155897214</c:v>
                </c:pt>
                <c:pt idx="13">
                  <c:v>4.214095810508887</c:v>
                </c:pt>
                <c:pt idx="14">
                  <c:v>4.3151031054277782</c:v>
                </c:pt>
                <c:pt idx="15">
                  <c:v>4.4161104003466694</c:v>
                </c:pt>
                <c:pt idx="16">
                  <c:v>4.5171176952655596</c:v>
                </c:pt>
                <c:pt idx="17">
                  <c:v>4.6181249901844499</c:v>
                </c:pt>
                <c:pt idx="18">
                  <c:v>4.719132285103333</c:v>
                </c:pt>
                <c:pt idx="19">
                  <c:v>4.8201395800224986</c:v>
                </c:pt>
                <c:pt idx="20">
                  <c:v>4.9211468749413889</c:v>
                </c:pt>
                <c:pt idx="21">
                  <c:v>5.0221541698602792</c:v>
                </c:pt>
                <c:pt idx="22">
                  <c:v>5.1231614647791703</c:v>
                </c:pt>
                <c:pt idx="23">
                  <c:v>5.2241687596980615</c:v>
                </c:pt>
                <c:pt idx="24">
                  <c:v>5.3251760546172271</c:v>
                </c:pt>
                <c:pt idx="25">
                  <c:v>5.4261833495361094</c:v>
                </c:pt>
                <c:pt idx="26">
                  <c:v>5.5271906444550005</c:v>
                </c:pt>
                <c:pt idx="27">
                  <c:v>5.6281979393738908</c:v>
                </c:pt>
                <c:pt idx="28">
                  <c:v>5.7292052342927811</c:v>
                </c:pt>
                <c:pt idx="29">
                  <c:v>5.8302125292119467</c:v>
                </c:pt>
                <c:pt idx="30">
                  <c:v>5.9312198241308378</c:v>
                </c:pt>
                <c:pt idx="31">
                  <c:v>6.032227119049729</c:v>
                </c:pt>
                <c:pt idx="32">
                  <c:v>6.1332344139686104</c:v>
                </c:pt>
                <c:pt idx="33">
                  <c:v>6.2342417088875015</c:v>
                </c:pt>
                <c:pt idx="34">
                  <c:v>6.3352490038066671</c:v>
                </c:pt>
                <c:pt idx="35">
                  <c:v>6.4362562987255583</c:v>
                </c:pt>
                <c:pt idx="36">
                  <c:v>6.5372635936444485</c:v>
                </c:pt>
                <c:pt idx="37">
                  <c:v>6.6382708885633388</c:v>
                </c:pt>
                <c:pt idx="38">
                  <c:v>6.739278183482222</c:v>
                </c:pt>
                <c:pt idx="39">
                  <c:v>6.8402854784013876</c:v>
                </c:pt>
                <c:pt idx="40">
                  <c:v>6.9412927733202778</c:v>
                </c:pt>
                <c:pt idx="41">
                  <c:v>7.042300068239169</c:v>
                </c:pt>
                <c:pt idx="42">
                  <c:v>7.1433073631580593</c:v>
                </c:pt>
                <c:pt idx="43">
                  <c:v>7.2443146580769504</c:v>
                </c:pt>
                <c:pt idx="44">
                  <c:v>7.3453219529958327</c:v>
                </c:pt>
                <c:pt idx="45">
                  <c:v>7.4463292479149983</c:v>
                </c:pt>
                <c:pt idx="46">
                  <c:v>7.5473365428338894</c:v>
                </c:pt>
                <c:pt idx="47">
                  <c:v>7.6483438377527797</c:v>
                </c:pt>
                <c:pt idx="48">
                  <c:v>7.7493511326716709</c:v>
                </c:pt>
                <c:pt idx="49">
                  <c:v>7.8503584275905611</c:v>
                </c:pt>
                <c:pt idx="50">
                  <c:v>7.9513657225097267</c:v>
                </c:pt>
                <c:pt idx="51">
                  <c:v>8.052373017428609</c:v>
                </c:pt>
                <c:pt idx="52">
                  <c:v>8.153380312347501</c:v>
                </c:pt>
                <c:pt idx="53">
                  <c:v>8.2543876072663913</c:v>
                </c:pt>
                <c:pt idx="54">
                  <c:v>8.3553949021852816</c:v>
                </c:pt>
                <c:pt idx="55">
                  <c:v>8.4564021971044472</c:v>
                </c:pt>
                <c:pt idx="56">
                  <c:v>8.5574094920233374</c:v>
                </c:pt>
                <c:pt idx="57">
                  <c:v>8.6584167869422206</c:v>
                </c:pt>
                <c:pt idx="58">
                  <c:v>8.7594240818611109</c:v>
                </c:pt>
                <c:pt idx="59">
                  <c:v>8.8604313767800029</c:v>
                </c:pt>
                <c:pt idx="60">
                  <c:v>8.9614386716991667</c:v>
                </c:pt>
                <c:pt idx="61">
                  <c:v>9.062445966618057</c:v>
                </c:pt>
                <c:pt idx="62">
                  <c:v>9.1634532615369491</c:v>
                </c:pt>
                <c:pt idx="63">
                  <c:v>9.2644605564558393</c:v>
                </c:pt>
                <c:pt idx="64">
                  <c:v>9.3654678513747207</c:v>
                </c:pt>
                <c:pt idx="65">
                  <c:v>9.4664751462936128</c:v>
                </c:pt>
                <c:pt idx="66">
                  <c:v>9.5674824412127784</c:v>
                </c:pt>
                <c:pt idx="67">
                  <c:v>9.6684897361316686</c:v>
                </c:pt>
                <c:pt idx="68">
                  <c:v>9.7694970310505589</c:v>
                </c:pt>
                <c:pt idx="69">
                  <c:v>9.8705043259694492</c:v>
                </c:pt>
                <c:pt idx="70">
                  <c:v>9.9715116208883323</c:v>
                </c:pt>
                <c:pt idx="71">
                  <c:v>10.0725189158075</c:v>
                </c:pt>
                <c:pt idx="72">
                  <c:v>10.17352621072639</c:v>
                </c:pt>
                <c:pt idx="73">
                  <c:v>10.27453350564528</c:v>
                </c:pt>
                <c:pt idx="74">
                  <c:v>10.37554080056417</c:v>
                </c:pt>
                <c:pt idx="75">
                  <c:v>10.476548095483061</c:v>
                </c:pt>
                <c:pt idx="76">
                  <c:v>10.577555390402226</c:v>
                </c:pt>
                <c:pt idx="77">
                  <c:v>10.67856268532111</c:v>
                </c:pt>
                <c:pt idx="78">
                  <c:v>10.77956998024</c:v>
                </c:pt>
                <c:pt idx="79">
                  <c:v>10.880577275158892</c:v>
                </c:pt>
                <c:pt idx="80">
                  <c:v>10.981584570077782</c:v>
                </c:pt>
                <c:pt idx="81">
                  <c:v>11.082591864996948</c:v>
                </c:pt>
                <c:pt idx="82">
                  <c:v>11.183599159915838</c:v>
                </c:pt>
                <c:pt idx="83">
                  <c:v>11.284606454834721</c:v>
                </c:pt>
                <c:pt idx="84">
                  <c:v>11.385613749753611</c:v>
                </c:pt>
                <c:pt idx="85">
                  <c:v>11.486621044672502</c:v>
                </c:pt>
                <c:pt idx="86">
                  <c:v>11.587628339591667</c:v>
                </c:pt>
                <c:pt idx="87">
                  <c:v>11.688635634510558</c:v>
                </c:pt>
                <c:pt idx="88">
                  <c:v>11.789642929429448</c:v>
                </c:pt>
                <c:pt idx="89">
                  <c:v>11.89065022434834</c:v>
                </c:pt>
                <c:pt idx="90">
                  <c:v>11.991657519267221</c:v>
                </c:pt>
                <c:pt idx="91">
                  <c:v>12.092664814186113</c:v>
                </c:pt>
                <c:pt idx="92">
                  <c:v>12.193672109105279</c:v>
                </c:pt>
                <c:pt idx="93">
                  <c:v>12.294679404024169</c:v>
                </c:pt>
                <c:pt idx="94">
                  <c:v>12.395686698943059</c:v>
                </c:pt>
                <c:pt idx="95">
                  <c:v>12.49669399386195</c:v>
                </c:pt>
                <c:pt idx="96">
                  <c:v>12.597701288780833</c:v>
                </c:pt>
                <c:pt idx="97">
                  <c:v>12.698708583699998</c:v>
                </c:pt>
                <c:pt idx="98">
                  <c:v>12.799715878618889</c:v>
                </c:pt>
                <c:pt idx="99">
                  <c:v>12.900723173537781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BA5-48DB-8D03-38888921E28B}"/>
            </c:ext>
          </c:extLst>
        </c:ser>
        <c:ser>
          <c:idx val="5"/>
          <c:order val="5"/>
          <c:tx>
            <c:v>Décharge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Sheet1!$X$2:$X$101</c:f>
              <c:numCache>
                <c:formatCode>General</c:formatCode>
                <c:ptCount val="100"/>
                <c:pt idx="0">
                  <c:v>12.900723173537781</c:v>
                </c:pt>
                <c:pt idx="1">
                  <c:v>12.799715878618898</c:v>
                </c:pt>
                <c:pt idx="2">
                  <c:v>12.698708583700007</c:v>
                </c:pt>
                <c:pt idx="3">
                  <c:v>12.597701288780842</c:v>
                </c:pt>
                <c:pt idx="4">
                  <c:v>12.496693993861951</c:v>
                </c:pt>
                <c:pt idx="5">
                  <c:v>12.395686698943061</c:v>
                </c:pt>
                <c:pt idx="6">
                  <c:v>12.294679404024169</c:v>
                </c:pt>
                <c:pt idx="7">
                  <c:v>12.193672109105288</c:v>
                </c:pt>
                <c:pt idx="8">
                  <c:v>12.092664814186122</c:v>
                </c:pt>
                <c:pt idx="9">
                  <c:v>11.99165751926723</c:v>
                </c:pt>
                <c:pt idx="10">
                  <c:v>11.89065022434834</c:v>
                </c:pt>
                <c:pt idx="11">
                  <c:v>11.78964292942945</c:v>
                </c:pt>
                <c:pt idx="12">
                  <c:v>11.688635634510559</c:v>
                </c:pt>
                <c:pt idx="13">
                  <c:v>11.587628339591394</c:v>
                </c:pt>
                <c:pt idx="14">
                  <c:v>11.486621044672511</c:v>
                </c:pt>
                <c:pt idx="15">
                  <c:v>11.38561374975362</c:v>
                </c:pt>
                <c:pt idx="16">
                  <c:v>11.28460645483473</c:v>
                </c:pt>
                <c:pt idx="17">
                  <c:v>11.183599159915838</c:v>
                </c:pt>
                <c:pt idx="18">
                  <c:v>11.082591864996948</c:v>
                </c:pt>
                <c:pt idx="19">
                  <c:v>10.981584570077782</c:v>
                </c:pt>
                <c:pt idx="20">
                  <c:v>10.880577275158892</c:v>
                </c:pt>
                <c:pt idx="21">
                  <c:v>10.779569980240009</c:v>
                </c:pt>
                <c:pt idx="22">
                  <c:v>10.678562685321118</c:v>
                </c:pt>
                <c:pt idx="23">
                  <c:v>10.577555390402228</c:v>
                </c:pt>
                <c:pt idx="24">
                  <c:v>10.476548095483063</c:v>
                </c:pt>
                <c:pt idx="25">
                  <c:v>10.37554080056417</c:v>
                </c:pt>
                <c:pt idx="26">
                  <c:v>10.27453350564528</c:v>
                </c:pt>
                <c:pt idx="27">
                  <c:v>10.173526210726397</c:v>
                </c:pt>
                <c:pt idx="28">
                  <c:v>10.072518915807507</c:v>
                </c:pt>
                <c:pt idx="29">
                  <c:v>9.9715116208883412</c:v>
                </c:pt>
                <c:pt idx="30">
                  <c:v>9.8705043259694509</c:v>
                </c:pt>
                <c:pt idx="31">
                  <c:v>9.7694970310505607</c:v>
                </c:pt>
                <c:pt idx="32">
                  <c:v>9.6684897361316704</c:v>
                </c:pt>
                <c:pt idx="33">
                  <c:v>9.5674824412127872</c:v>
                </c:pt>
                <c:pt idx="34">
                  <c:v>9.4664751462936216</c:v>
                </c:pt>
                <c:pt idx="35">
                  <c:v>9.3654678513747314</c:v>
                </c:pt>
                <c:pt idx="36">
                  <c:v>9.2644605564558411</c:v>
                </c:pt>
                <c:pt idx="37">
                  <c:v>9.1634532615369491</c:v>
                </c:pt>
                <c:pt idx="38">
                  <c:v>9.0624459666180588</c:v>
                </c:pt>
                <c:pt idx="39">
                  <c:v>8.9614386716991756</c:v>
                </c:pt>
                <c:pt idx="40">
                  <c:v>8.86043137678001</c:v>
                </c:pt>
                <c:pt idx="41">
                  <c:v>8.7594240818611198</c:v>
                </c:pt>
                <c:pt idx="42">
                  <c:v>8.6584167869422295</c:v>
                </c:pt>
                <c:pt idx="43">
                  <c:v>8.5574094920233392</c:v>
                </c:pt>
                <c:pt idx="44">
                  <c:v>8.456402197104449</c:v>
                </c:pt>
                <c:pt idx="45">
                  <c:v>8.3553949021852816</c:v>
                </c:pt>
                <c:pt idx="46">
                  <c:v>8.2543876072663913</c:v>
                </c:pt>
                <c:pt idx="47">
                  <c:v>8.1533803123475082</c:v>
                </c:pt>
                <c:pt idx="48">
                  <c:v>8.0523730174286179</c:v>
                </c:pt>
                <c:pt idx="49">
                  <c:v>7.9513657225097276</c:v>
                </c:pt>
                <c:pt idx="50">
                  <c:v>7.850358427590562</c:v>
                </c:pt>
                <c:pt idx="51">
                  <c:v>7.7493511326716717</c:v>
                </c:pt>
                <c:pt idx="52">
                  <c:v>7.6483438377527806</c:v>
                </c:pt>
                <c:pt idx="53">
                  <c:v>7.5473365428338983</c:v>
                </c:pt>
                <c:pt idx="54">
                  <c:v>7.4463292479150072</c:v>
                </c:pt>
                <c:pt idx="55">
                  <c:v>7.3453219529958416</c:v>
                </c:pt>
                <c:pt idx="56">
                  <c:v>7.2443146580769513</c:v>
                </c:pt>
                <c:pt idx="57">
                  <c:v>7.1433073631580601</c:v>
                </c:pt>
                <c:pt idx="58">
                  <c:v>7.0423000682391699</c:v>
                </c:pt>
                <c:pt idx="59">
                  <c:v>6.9412927733202867</c:v>
                </c:pt>
                <c:pt idx="60">
                  <c:v>6.840285478401122</c:v>
                </c:pt>
                <c:pt idx="61">
                  <c:v>6.7392781834822308</c:v>
                </c:pt>
                <c:pt idx="62">
                  <c:v>6.6382708885633406</c:v>
                </c:pt>
                <c:pt idx="63">
                  <c:v>6.5372635936444494</c:v>
                </c:pt>
                <c:pt idx="64">
                  <c:v>6.4362562987255592</c:v>
                </c:pt>
                <c:pt idx="65">
                  <c:v>6.335249003806676</c:v>
                </c:pt>
                <c:pt idx="66">
                  <c:v>6.2342417088875104</c:v>
                </c:pt>
                <c:pt idx="67">
                  <c:v>6.1332344139686201</c:v>
                </c:pt>
                <c:pt idx="68">
                  <c:v>6.032227119049729</c:v>
                </c:pt>
                <c:pt idx="69">
                  <c:v>5.9312198241308387</c:v>
                </c:pt>
                <c:pt idx="70">
                  <c:v>5.8302125292119475</c:v>
                </c:pt>
                <c:pt idx="71">
                  <c:v>5.7292052342927819</c:v>
                </c:pt>
                <c:pt idx="72">
                  <c:v>5.6281979393738917</c:v>
                </c:pt>
                <c:pt idx="73">
                  <c:v>5.5271906444550094</c:v>
                </c:pt>
                <c:pt idx="74">
                  <c:v>5.4261833495361183</c:v>
                </c:pt>
                <c:pt idx="75">
                  <c:v>5.325176054617228</c:v>
                </c:pt>
                <c:pt idx="76">
                  <c:v>5.2241687596980624</c:v>
                </c:pt>
                <c:pt idx="77">
                  <c:v>5.1231614647791712</c:v>
                </c:pt>
                <c:pt idx="78">
                  <c:v>5.022154169860281</c:v>
                </c:pt>
                <c:pt idx="79">
                  <c:v>4.9211468749413978</c:v>
                </c:pt>
                <c:pt idx="80">
                  <c:v>4.8201395800225075</c:v>
                </c:pt>
                <c:pt idx="81">
                  <c:v>4.7191322851033419</c:v>
                </c:pt>
                <c:pt idx="82">
                  <c:v>4.6181249901844517</c:v>
                </c:pt>
                <c:pt idx="83">
                  <c:v>4.5171176952655596</c:v>
                </c:pt>
                <c:pt idx="84">
                  <c:v>4.4161104003466694</c:v>
                </c:pt>
                <c:pt idx="85">
                  <c:v>4.315103105427788</c:v>
                </c:pt>
                <c:pt idx="86">
                  <c:v>4.2140958105086224</c:v>
                </c:pt>
                <c:pt idx="87">
                  <c:v>4.1130885155897303</c:v>
                </c:pt>
                <c:pt idx="88">
                  <c:v>4.0120812206708401</c:v>
                </c:pt>
                <c:pt idx="89">
                  <c:v>3.9110739257519498</c:v>
                </c:pt>
                <c:pt idx="90">
                  <c:v>3.8100666308330595</c:v>
                </c:pt>
                <c:pt idx="91">
                  <c:v>3.7090593359141764</c:v>
                </c:pt>
                <c:pt idx="92">
                  <c:v>3.6080520409950108</c:v>
                </c:pt>
                <c:pt idx="93">
                  <c:v>3.5070447460761205</c:v>
                </c:pt>
                <c:pt idx="94">
                  <c:v>3.4060374511572284</c:v>
                </c:pt>
                <c:pt idx="95">
                  <c:v>3.3050301562383382</c:v>
                </c:pt>
                <c:pt idx="96">
                  <c:v>3.2040228613194479</c:v>
                </c:pt>
                <c:pt idx="97">
                  <c:v>3.1030155664002823</c:v>
                </c:pt>
                <c:pt idx="98">
                  <c:v>3.002008271481392</c:v>
                </c:pt>
                <c:pt idx="99">
                  <c:v>2.9010009765625089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BA5-48DB-8D03-38888921E28B}"/>
            </c:ext>
          </c:extLst>
        </c:ser>
        <c:ser>
          <c:idx val="6"/>
          <c:order val="6"/>
          <c:tx>
            <c:v>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Sheet1!$AB$2:$AB$101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3.0050600292938907</c:v>
                </c:pt>
                <c:pt idx="2">
                  <c:v>3.1060673242127814</c:v>
                </c:pt>
                <c:pt idx="3">
                  <c:v>3.207074619131947</c:v>
                </c:pt>
                <c:pt idx="4">
                  <c:v>3.3080819140508377</c:v>
                </c:pt>
                <c:pt idx="5">
                  <c:v>3.4090892089697205</c:v>
                </c:pt>
                <c:pt idx="6">
                  <c:v>3.5100965038886107</c:v>
                </c:pt>
                <c:pt idx="7">
                  <c:v>3.6111037988075019</c:v>
                </c:pt>
                <c:pt idx="8">
                  <c:v>3.7121110937266675</c:v>
                </c:pt>
                <c:pt idx="9">
                  <c:v>3.8131183886455577</c:v>
                </c:pt>
                <c:pt idx="10">
                  <c:v>3.9141256835644489</c:v>
                </c:pt>
                <c:pt idx="11">
                  <c:v>4.0151329784833312</c:v>
                </c:pt>
                <c:pt idx="12">
                  <c:v>4.1161402734022214</c:v>
                </c:pt>
                <c:pt idx="13">
                  <c:v>4.217147568321387</c:v>
                </c:pt>
                <c:pt idx="14">
                  <c:v>4.3181548632402782</c:v>
                </c:pt>
                <c:pt idx="15">
                  <c:v>4.4191621581591694</c:v>
                </c:pt>
                <c:pt idx="16">
                  <c:v>4.5201694530780596</c:v>
                </c:pt>
                <c:pt idx="17">
                  <c:v>4.6211767479969499</c:v>
                </c:pt>
                <c:pt idx="18">
                  <c:v>4.722184042915833</c:v>
                </c:pt>
                <c:pt idx="19">
                  <c:v>4.8231913378349986</c:v>
                </c:pt>
                <c:pt idx="20">
                  <c:v>4.9241986327538889</c:v>
                </c:pt>
                <c:pt idx="21">
                  <c:v>5.0252059276727792</c:v>
                </c:pt>
                <c:pt idx="22">
                  <c:v>5.1262132225916703</c:v>
                </c:pt>
                <c:pt idx="23">
                  <c:v>5.2272205175105615</c:v>
                </c:pt>
                <c:pt idx="24">
                  <c:v>5.3282278124297271</c:v>
                </c:pt>
                <c:pt idx="25">
                  <c:v>5.4292351073486094</c:v>
                </c:pt>
                <c:pt idx="26">
                  <c:v>5.5302424022675005</c:v>
                </c:pt>
                <c:pt idx="27">
                  <c:v>5.6312496971863908</c:v>
                </c:pt>
                <c:pt idx="28">
                  <c:v>5.7322569921052811</c:v>
                </c:pt>
                <c:pt idx="29">
                  <c:v>5.8332642870244467</c:v>
                </c:pt>
                <c:pt idx="30">
                  <c:v>5.9342715819433378</c:v>
                </c:pt>
                <c:pt idx="31">
                  <c:v>6.0352788768622201</c:v>
                </c:pt>
                <c:pt idx="32">
                  <c:v>6.1362861717811104</c:v>
                </c:pt>
                <c:pt idx="33">
                  <c:v>6.2372934667000015</c:v>
                </c:pt>
                <c:pt idx="34">
                  <c:v>6.3383007616191671</c:v>
                </c:pt>
                <c:pt idx="35">
                  <c:v>6.4393080565380583</c:v>
                </c:pt>
                <c:pt idx="36">
                  <c:v>6.5403153514569485</c:v>
                </c:pt>
                <c:pt idx="37">
                  <c:v>6.6413226463758317</c:v>
                </c:pt>
                <c:pt idx="38">
                  <c:v>6.742329941294722</c:v>
                </c:pt>
                <c:pt idx="39">
                  <c:v>6.8433372362138876</c:v>
                </c:pt>
                <c:pt idx="40">
                  <c:v>6.9443445311327778</c:v>
                </c:pt>
                <c:pt idx="41">
                  <c:v>7.045351826051669</c:v>
                </c:pt>
                <c:pt idx="42">
                  <c:v>7.1463591209705593</c:v>
                </c:pt>
                <c:pt idx="43">
                  <c:v>7.2473664158894504</c:v>
                </c:pt>
                <c:pt idx="44">
                  <c:v>7.3483737108083327</c:v>
                </c:pt>
                <c:pt idx="45">
                  <c:v>7.4493810057274983</c:v>
                </c:pt>
                <c:pt idx="46">
                  <c:v>7.5503883006463894</c:v>
                </c:pt>
                <c:pt idx="47">
                  <c:v>7.6513955955652797</c:v>
                </c:pt>
                <c:pt idx="48">
                  <c:v>7.7524028904841709</c:v>
                </c:pt>
                <c:pt idx="49">
                  <c:v>7.8534101854030611</c:v>
                </c:pt>
                <c:pt idx="50">
                  <c:v>7.9544174803222267</c:v>
                </c:pt>
                <c:pt idx="51">
                  <c:v>8.055424775241109</c:v>
                </c:pt>
                <c:pt idx="52">
                  <c:v>8.156432070160001</c:v>
                </c:pt>
                <c:pt idx="53">
                  <c:v>8.2574393650788913</c:v>
                </c:pt>
                <c:pt idx="54">
                  <c:v>8.3584466599977816</c:v>
                </c:pt>
                <c:pt idx="55">
                  <c:v>8.4594539549169472</c:v>
                </c:pt>
                <c:pt idx="56">
                  <c:v>8.5604612498358374</c:v>
                </c:pt>
                <c:pt idx="57">
                  <c:v>8.6614685447547206</c:v>
                </c:pt>
                <c:pt idx="58">
                  <c:v>8.7624758396736109</c:v>
                </c:pt>
                <c:pt idx="59">
                  <c:v>8.8634831345925029</c:v>
                </c:pt>
                <c:pt idx="60">
                  <c:v>8.9644904295116667</c:v>
                </c:pt>
                <c:pt idx="61">
                  <c:v>9.065497724430557</c:v>
                </c:pt>
                <c:pt idx="62">
                  <c:v>9.1665050193494491</c:v>
                </c:pt>
                <c:pt idx="63">
                  <c:v>9.2675123142683304</c:v>
                </c:pt>
                <c:pt idx="64">
                  <c:v>9.3685196091872207</c:v>
                </c:pt>
                <c:pt idx="65">
                  <c:v>9.4695269041061128</c:v>
                </c:pt>
                <c:pt idx="66">
                  <c:v>9.5705341990252784</c:v>
                </c:pt>
                <c:pt idx="67">
                  <c:v>9.6715414939441686</c:v>
                </c:pt>
                <c:pt idx="68">
                  <c:v>9.7725487888630589</c:v>
                </c:pt>
                <c:pt idx="69">
                  <c:v>9.8735560837819492</c:v>
                </c:pt>
                <c:pt idx="70">
                  <c:v>9.9745633787008323</c:v>
                </c:pt>
                <c:pt idx="71">
                  <c:v>10.07557067362</c:v>
                </c:pt>
                <c:pt idx="72">
                  <c:v>10.17657796853889</c:v>
                </c:pt>
                <c:pt idx="73">
                  <c:v>10.27758526345778</c:v>
                </c:pt>
                <c:pt idx="74">
                  <c:v>10.37859255837667</c:v>
                </c:pt>
                <c:pt idx="75">
                  <c:v>10.479599853295561</c:v>
                </c:pt>
                <c:pt idx="76">
                  <c:v>10.580607148214726</c:v>
                </c:pt>
                <c:pt idx="77">
                  <c:v>10.68161444313361</c:v>
                </c:pt>
                <c:pt idx="78">
                  <c:v>10.7826217380525</c:v>
                </c:pt>
                <c:pt idx="79">
                  <c:v>10.883629032971392</c:v>
                </c:pt>
                <c:pt idx="80">
                  <c:v>10.984636327890282</c:v>
                </c:pt>
                <c:pt idx="81">
                  <c:v>11.085643622809448</c:v>
                </c:pt>
                <c:pt idx="82">
                  <c:v>11.186650917728338</c:v>
                </c:pt>
                <c:pt idx="83">
                  <c:v>11.287658212647221</c:v>
                </c:pt>
                <c:pt idx="84">
                  <c:v>11.388665507566111</c:v>
                </c:pt>
                <c:pt idx="85">
                  <c:v>11.489672802485002</c:v>
                </c:pt>
                <c:pt idx="86">
                  <c:v>11.590680097404167</c:v>
                </c:pt>
                <c:pt idx="87">
                  <c:v>11.691687392323058</c:v>
                </c:pt>
                <c:pt idx="88">
                  <c:v>11.792694687241948</c:v>
                </c:pt>
                <c:pt idx="89">
                  <c:v>11.893701982160831</c:v>
                </c:pt>
                <c:pt idx="90">
                  <c:v>11.994709277079721</c:v>
                </c:pt>
                <c:pt idx="91">
                  <c:v>12.095716571998613</c:v>
                </c:pt>
                <c:pt idx="92">
                  <c:v>12.196723866917779</c:v>
                </c:pt>
                <c:pt idx="93">
                  <c:v>12.297731161836669</c:v>
                </c:pt>
                <c:pt idx="94">
                  <c:v>12.398738456755559</c:v>
                </c:pt>
                <c:pt idx="95">
                  <c:v>12.49974575167445</c:v>
                </c:pt>
                <c:pt idx="96">
                  <c:v>12.600753046593333</c:v>
                </c:pt>
                <c:pt idx="97">
                  <c:v>12.701760341512498</c:v>
                </c:pt>
                <c:pt idx="98">
                  <c:v>12.802767636431389</c:v>
                </c:pt>
                <c:pt idx="99">
                  <c:v>12.903774931350281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BA5-48DB-8D03-38888921E28B}"/>
            </c:ext>
          </c:extLst>
        </c:ser>
        <c:ser>
          <c:idx val="7"/>
          <c:order val="7"/>
          <c:tx>
            <c:v>Décharge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Sheet1!$AF$2:$AF$101</c:f>
              <c:numCache>
                <c:formatCode>General</c:formatCode>
                <c:ptCount val="100"/>
                <c:pt idx="0">
                  <c:v>12.903774931350281</c:v>
                </c:pt>
                <c:pt idx="1">
                  <c:v>12.80276763643139</c:v>
                </c:pt>
                <c:pt idx="2">
                  <c:v>12.7017603415125</c:v>
                </c:pt>
                <c:pt idx="3">
                  <c:v>12.600753046593335</c:v>
                </c:pt>
                <c:pt idx="4">
                  <c:v>12.499745751674443</c:v>
                </c:pt>
                <c:pt idx="5">
                  <c:v>12.398738456755552</c:v>
                </c:pt>
                <c:pt idx="6">
                  <c:v>12.297731161836662</c:v>
                </c:pt>
                <c:pt idx="7">
                  <c:v>12.196723866917779</c:v>
                </c:pt>
                <c:pt idx="8">
                  <c:v>12.095716571998613</c:v>
                </c:pt>
                <c:pt idx="9">
                  <c:v>11.994709277079723</c:v>
                </c:pt>
                <c:pt idx="10">
                  <c:v>11.893701982160833</c:v>
                </c:pt>
                <c:pt idx="11">
                  <c:v>11.792694687241941</c:v>
                </c:pt>
                <c:pt idx="12">
                  <c:v>11.69168739232305</c:v>
                </c:pt>
                <c:pt idx="13">
                  <c:v>11.590680097403885</c:v>
                </c:pt>
                <c:pt idx="14">
                  <c:v>11.489672802485003</c:v>
                </c:pt>
                <c:pt idx="15">
                  <c:v>11.388665507566111</c:v>
                </c:pt>
                <c:pt idx="16">
                  <c:v>11.287658212647221</c:v>
                </c:pt>
                <c:pt idx="17">
                  <c:v>11.186650917728331</c:v>
                </c:pt>
                <c:pt idx="18">
                  <c:v>11.085643622809441</c:v>
                </c:pt>
                <c:pt idx="19">
                  <c:v>10.984636327890275</c:v>
                </c:pt>
                <c:pt idx="20">
                  <c:v>10.883629032971392</c:v>
                </c:pt>
                <c:pt idx="21">
                  <c:v>10.782621738052502</c:v>
                </c:pt>
                <c:pt idx="22">
                  <c:v>10.681614443133611</c:v>
                </c:pt>
                <c:pt idx="23">
                  <c:v>10.580607148214719</c:v>
                </c:pt>
                <c:pt idx="24">
                  <c:v>10.479599853295554</c:v>
                </c:pt>
                <c:pt idx="25">
                  <c:v>10.378592558376663</c:v>
                </c:pt>
                <c:pt idx="26">
                  <c:v>10.27758526345778</c:v>
                </c:pt>
                <c:pt idx="27">
                  <c:v>10.17657796853889</c:v>
                </c:pt>
                <c:pt idx="28">
                  <c:v>10.075570673619991</c:v>
                </c:pt>
                <c:pt idx="29">
                  <c:v>9.9745633787008341</c:v>
                </c:pt>
                <c:pt idx="30">
                  <c:v>9.8735560837819509</c:v>
                </c:pt>
                <c:pt idx="31">
                  <c:v>9.7725487888630518</c:v>
                </c:pt>
                <c:pt idx="32">
                  <c:v>9.6715414939441704</c:v>
                </c:pt>
                <c:pt idx="33">
                  <c:v>9.5705341990252712</c:v>
                </c:pt>
                <c:pt idx="34">
                  <c:v>9.4695269041061145</c:v>
                </c:pt>
                <c:pt idx="35">
                  <c:v>9.3685196091872154</c:v>
                </c:pt>
                <c:pt idx="36">
                  <c:v>9.2675123142683322</c:v>
                </c:pt>
                <c:pt idx="37">
                  <c:v>9.1665050193494491</c:v>
                </c:pt>
                <c:pt idx="38">
                  <c:v>9.0654977244305499</c:v>
                </c:pt>
                <c:pt idx="39">
                  <c:v>8.9644904295116685</c:v>
                </c:pt>
                <c:pt idx="40">
                  <c:v>8.8634831345924958</c:v>
                </c:pt>
                <c:pt idx="41">
                  <c:v>8.7624758396736127</c:v>
                </c:pt>
                <c:pt idx="42">
                  <c:v>8.6614685447547135</c:v>
                </c:pt>
                <c:pt idx="43">
                  <c:v>8.5604612498358303</c:v>
                </c:pt>
                <c:pt idx="44">
                  <c:v>8.459453954916949</c:v>
                </c:pt>
                <c:pt idx="45">
                  <c:v>8.3584466599977745</c:v>
                </c:pt>
                <c:pt idx="46">
                  <c:v>8.2574393650788913</c:v>
                </c:pt>
                <c:pt idx="47">
                  <c:v>8.1564320701599939</c:v>
                </c:pt>
                <c:pt idx="48">
                  <c:v>8.0554247752411108</c:v>
                </c:pt>
                <c:pt idx="49">
                  <c:v>7.9544174803222276</c:v>
                </c:pt>
                <c:pt idx="50">
                  <c:v>7.853410185403054</c:v>
                </c:pt>
                <c:pt idx="51">
                  <c:v>7.7524028904841717</c:v>
                </c:pt>
                <c:pt idx="52">
                  <c:v>7.6513955955652726</c:v>
                </c:pt>
                <c:pt idx="53">
                  <c:v>7.5503883006463903</c:v>
                </c:pt>
                <c:pt idx="54">
                  <c:v>7.4493810057274912</c:v>
                </c:pt>
                <c:pt idx="55">
                  <c:v>7.3483737108083336</c:v>
                </c:pt>
                <c:pt idx="56">
                  <c:v>7.2473664158894513</c:v>
                </c:pt>
                <c:pt idx="57">
                  <c:v>7.1463591209705521</c:v>
                </c:pt>
                <c:pt idx="58">
                  <c:v>7.0453518260516699</c:v>
                </c:pt>
                <c:pt idx="59">
                  <c:v>6.9443445311327707</c:v>
                </c:pt>
                <c:pt idx="60">
                  <c:v>6.8433372362136131</c:v>
                </c:pt>
                <c:pt idx="61">
                  <c:v>6.7423299412947149</c:v>
                </c:pt>
                <c:pt idx="62">
                  <c:v>6.6413226463758317</c:v>
                </c:pt>
                <c:pt idx="63">
                  <c:v>6.5403153514569494</c:v>
                </c:pt>
                <c:pt idx="64">
                  <c:v>6.4393080565380503</c:v>
                </c:pt>
                <c:pt idx="65">
                  <c:v>6.338300761619168</c:v>
                </c:pt>
                <c:pt idx="66">
                  <c:v>6.2372934666999944</c:v>
                </c:pt>
                <c:pt idx="67">
                  <c:v>6.1362861717811121</c:v>
                </c:pt>
                <c:pt idx="68">
                  <c:v>6.035278876862229</c:v>
                </c:pt>
                <c:pt idx="69">
                  <c:v>5.9342715819433307</c:v>
                </c:pt>
                <c:pt idx="70">
                  <c:v>5.8332642870244475</c:v>
                </c:pt>
                <c:pt idx="71">
                  <c:v>5.732256992105274</c:v>
                </c:pt>
                <c:pt idx="72">
                  <c:v>5.6312496971863917</c:v>
                </c:pt>
                <c:pt idx="73">
                  <c:v>5.5302424022674925</c:v>
                </c:pt>
                <c:pt idx="74">
                  <c:v>5.4292351073486103</c:v>
                </c:pt>
                <c:pt idx="75">
                  <c:v>5.328227812429728</c:v>
                </c:pt>
                <c:pt idx="76">
                  <c:v>5.2272205175105544</c:v>
                </c:pt>
                <c:pt idx="77">
                  <c:v>5.1262132225916712</c:v>
                </c:pt>
                <c:pt idx="78">
                  <c:v>5.025205927672773</c:v>
                </c:pt>
                <c:pt idx="79">
                  <c:v>4.9241986327538898</c:v>
                </c:pt>
                <c:pt idx="80">
                  <c:v>4.8231913378349915</c:v>
                </c:pt>
                <c:pt idx="81">
                  <c:v>4.722184042915833</c:v>
                </c:pt>
                <c:pt idx="82">
                  <c:v>4.6211767479969517</c:v>
                </c:pt>
                <c:pt idx="83">
                  <c:v>4.5201694530780525</c:v>
                </c:pt>
                <c:pt idx="84">
                  <c:v>4.4191621581591694</c:v>
                </c:pt>
                <c:pt idx="85">
                  <c:v>4.3181548632402702</c:v>
                </c:pt>
                <c:pt idx="86">
                  <c:v>4.2171475683211135</c:v>
                </c:pt>
                <c:pt idx="87">
                  <c:v>4.1161402734022143</c:v>
                </c:pt>
                <c:pt idx="88">
                  <c:v>4.0151329784833329</c:v>
                </c:pt>
                <c:pt idx="89">
                  <c:v>3.9141256835644498</c:v>
                </c:pt>
                <c:pt idx="90">
                  <c:v>3.8131183886455506</c:v>
                </c:pt>
                <c:pt idx="91">
                  <c:v>3.7121110937266675</c:v>
                </c:pt>
                <c:pt idx="92">
                  <c:v>3.6111037988074948</c:v>
                </c:pt>
                <c:pt idx="93">
                  <c:v>3.5100965038886116</c:v>
                </c:pt>
                <c:pt idx="94">
                  <c:v>3.4090892089697284</c:v>
                </c:pt>
                <c:pt idx="95">
                  <c:v>3.3080819140508311</c:v>
                </c:pt>
                <c:pt idx="96">
                  <c:v>3.2070746191319479</c:v>
                </c:pt>
                <c:pt idx="97">
                  <c:v>3.1060673242127734</c:v>
                </c:pt>
                <c:pt idx="98">
                  <c:v>3.005060029293892</c:v>
                </c:pt>
                <c:pt idx="99">
                  <c:v>2.9040527343749929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BA5-48DB-8D03-38888921E28B}"/>
            </c:ext>
          </c:extLst>
        </c:ser>
        <c:ser>
          <c:idx val="8"/>
          <c:order val="8"/>
          <c:tx>
            <c:v>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3.0078066113251487</c:v>
                </c:pt>
                <c:pt idx="2">
                  <c:v>3.1088139062440314</c:v>
                </c:pt>
                <c:pt idx="3">
                  <c:v>3.209821201163189</c:v>
                </c:pt>
                <c:pt idx="4">
                  <c:v>3.3108284960820877</c:v>
                </c:pt>
                <c:pt idx="5">
                  <c:v>3.4118357910009705</c:v>
                </c:pt>
                <c:pt idx="6">
                  <c:v>3.5128430859198692</c:v>
                </c:pt>
                <c:pt idx="7">
                  <c:v>3.6138503808387519</c:v>
                </c:pt>
                <c:pt idx="8">
                  <c:v>3.7148576757579255</c:v>
                </c:pt>
                <c:pt idx="9">
                  <c:v>3.8158649706768077</c:v>
                </c:pt>
                <c:pt idx="10">
                  <c:v>3.9168722655956905</c:v>
                </c:pt>
                <c:pt idx="11">
                  <c:v>4.0178795605145892</c:v>
                </c:pt>
                <c:pt idx="12">
                  <c:v>4.1188868554334714</c:v>
                </c:pt>
                <c:pt idx="13">
                  <c:v>4.2198941503526459</c:v>
                </c:pt>
                <c:pt idx="14">
                  <c:v>4.3209014452715282</c:v>
                </c:pt>
                <c:pt idx="15">
                  <c:v>4.4219087401904105</c:v>
                </c:pt>
                <c:pt idx="16">
                  <c:v>4.5229160351093096</c:v>
                </c:pt>
                <c:pt idx="17">
                  <c:v>4.6239233300281919</c:v>
                </c:pt>
                <c:pt idx="18">
                  <c:v>4.724930624947091</c:v>
                </c:pt>
                <c:pt idx="19">
                  <c:v>4.8259379198662486</c:v>
                </c:pt>
                <c:pt idx="20">
                  <c:v>4.9269452147851478</c:v>
                </c:pt>
                <c:pt idx="21">
                  <c:v>5.0279525097040292</c:v>
                </c:pt>
                <c:pt idx="22">
                  <c:v>5.1289598046229123</c:v>
                </c:pt>
                <c:pt idx="23">
                  <c:v>5.2299670995418115</c:v>
                </c:pt>
                <c:pt idx="24">
                  <c:v>5.3309743944609682</c:v>
                </c:pt>
                <c:pt idx="25">
                  <c:v>5.4319816893798674</c:v>
                </c:pt>
                <c:pt idx="26">
                  <c:v>5.5329889842987505</c:v>
                </c:pt>
                <c:pt idx="27">
                  <c:v>5.6339962792176328</c:v>
                </c:pt>
                <c:pt idx="28">
                  <c:v>5.7350035741365311</c:v>
                </c:pt>
                <c:pt idx="29">
                  <c:v>5.8360108690556896</c:v>
                </c:pt>
                <c:pt idx="30">
                  <c:v>5.9370181639745878</c:v>
                </c:pt>
                <c:pt idx="31">
                  <c:v>6.0380254588934701</c:v>
                </c:pt>
                <c:pt idx="32">
                  <c:v>6.1390327538123692</c:v>
                </c:pt>
                <c:pt idx="33">
                  <c:v>6.2400400487312515</c:v>
                </c:pt>
                <c:pt idx="34">
                  <c:v>6.3410473436504251</c:v>
                </c:pt>
                <c:pt idx="35">
                  <c:v>6.4420546385693083</c:v>
                </c:pt>
                <c:pt idx="36">
                  <c:v>6.5430619334881905</c:v>
                </c:pt>
                <c:pt idx="37">
                  <c:v>6.6440692284070888</c:v>
                </c:pt>
                <c:pt idx="38">
                  <c:v>6.745076523325972</c:v>
                </c:pt>
                <c:pt idx="39">
                  <c:v>6.8460838182451456</c:v>
                </c:pt>
                <c:pt idx="40">
                  <c:v>6.9470911131640278</c:v>
                </c:pt>
                <c:pt idx="41">
                  <c:v>7.048098408082911</c:v>
                </c:pt>
                <c:pt idx="42">
                  <c:v>7.1491057030018093</c:v>
                </c:pt>
                <c:pt idx="43">
                  <c:v>7.2501129979206924</c:v>
                </c:pt>
                <c:pt idx="44">
                  <c:v>7.3511202928395907</c:v>
                </c:pt>
                <c:pt idx="45">
                  <c:v>7.4521275877587483</c:v>
                </c:pt>
                <c:pt idx="46">
                  <c:v>7.5531348826776474</c:v>
                </c:pt>
                <c:pt idx="47">
                  <c:v>7.6541421775965297</c:v>
                </c:pt>
                <c:pt idx="48">
                  <c:v>7.7551494725154129</c:v>
                </c:pt>
                <c:pt idx="49">
                  <c:v>7.8561567674343111</c:v>
                </c:pt>
                <c:pt idx="50">
                  <c:v>7.9571640623534687</c:v>
                </c:pt>
                <c:pt idx="51">
                  <c:v>8.0581713572723679</c:v>
                </c:pt>
                <c:pt idx="52">
                  <c:v>8.159178652191251</c:v>
                </c:pt>
                <c:pt idx="53">
                  <c:v>8.2601859471101324</c:v>
                </c:pt>
                <c:pt idx="54">
                  <c:v>8.3611932420290316</c:v>
                </c:pt>
                <c:pt idx="55">
                  <c:v>8.4622005369481883</c:v>
                </c:pt>
                <c:pt idx="56">
                  <c:v>8.5632078318670874</c:v>
                </c:pt>
                <c:pt idx="57">
                  <c:v>8.6642151267859706</c:v>
                </c:pt>
                <c:pt idx="58">
                  <c:v>8.7652224217048698</c:v>
                </c:pt>
                <c:pt idx="59">
                  <c:v>8.8662297166237529</c:v>
                </c:pt>
                <c:pt idx="60">
                  <c:v>8.9672370115429256</c:v>
                </c:pt>
                <c:pt idx="61">
                  <c:v>9.068244306461807</c:v>
                </c:pt>
                <c:pt idx="62">
                  <c:v>9.1692516013806902</c:v>
                </c:pt>
                <c:pt idx="63">
                  <c:v>9.2702588962995893</c:v>
                </c:pt>
                <c:pt idx="64">
                  <c:v>9.3712661912184707</c:v>
                </c:pt>
                <c:pt idx="65">
                  <c:v>9.4722734861376452</c:v>
                </c:pt>
                <c:pt idx="66">
                  <c:v>9.5732807810565284</c:v>
                </c:pt>
                <c:pt idx="67">
                  <c:v>9.6742880759754115</c:v>
                </c:pt>
                <c:pt idx="68">
                  <c:v>9.7752953708943089</c:v>
                </c:pt>
                <c:pt idx="69">
                  <c:v>9.876302665813192</c:v>
                </c:pt>
                <c:pt idx="70">
                  <c:v>9.9773099607320912</c:v>
                </c:pt>
                <c:pt idx="71">
                  <c:v>10.07831725565125</c:v>
                </c:pt>
                <c:pt idx="72">
                  <c:v>10.179324550570147</c:v>
                </c:pt>
                <c:pt idx="73">
                  <c:v>10.28033184548903</c:v>
                </c:pt>
                <c:pt idx="74">
                  <c:v>10.381339140407913</c:v>
                </c:pt>
                <c:pt idx="75">
                  <c:v>10.482346435326811</c:v>
                </c:pt>
                <c:pt idx="76">
                  <c:v>10.583353730245967</c:v>
                </c:pt>
                <c:pt idx="77">
                  <c:v>10.684361025164868</c:v>
                </c:pt>
                <c:pt idx="78">
                  <c:v>10.78536832008375</c:v>
                </c:pt>
                <c:pt idx="79">
                  <c:v>10.886375615002633</c:v>
                </c:pt>
                <c:pt idx="80">
                  <c:v>10.987382909921532</c:v>
                </c:pt>
                <c:pt idx="81">
                  <c:v>11.088390204840689</c:v>
                </c:pt>
                <c:pt idx="82">
                  <c:v>11.189397499759588</c:v>
                </c:pt>
                <c:pt idx="83">
                  <c:v>11.290404794678471</c:v>
                </c:pt>
                <c:pt idx="84">
                  <c:v>11.391412089597369</c:v>
                </c:pt>
                <c:pt idx="85">
                  <c:v>11.492419384516252</c:v>
                </c:pt>
                <c:pt idx="86">
                  <c:v>11.593426679435426</c:v>
                </c:pt>
                <c:pt idx="87">
                  <c:v>11.694433974354308</c:v>
                </c:pt>
                <c:pt idx="88">
                  <c:v>11.795441269273191</c:v>
                </c:pt>
                <c:pt idx="89">
                  <c:v>11.89644856419209</c:v>
                </c:pt>
                <c:pt idx="90">
                  <c:v>11.997455859110971</c:v>
                </c:pt>
                <c:pt idx="91">
                  <c:v>12.098463154030146</c:v>
                </c:pt>
                <c:pt idx="92">
                  <c:v>12.199470448949029</c:v>
                </c:pt>
                <c:pt idx="93">
                  <c:v>12.30047774386791</c:v>
                </c:pt>
                <c:pt idx="94">
                  <c:v>12.401485038786809</c:v>
                </c:pt>
                <c:pt idx="95">
                  <c:v>12.502492333705693</c:v>
                </c:pt>
                <c:pt idx="96">
                  <c:v>12.603499628624592</c:v>
                </c:pt>
                <c:pt idx="97">
                  <c:v>12.704506923543748</c:v>
                </c:pt>
                <c:pt idx="98">
                  <c:v>12.805514218462648</c:v>
                </c:pt>
                <c:pt idx="99">
                  <c:v>12.906521513381531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BA5-48DB-8D03-38888921E28B}"/>
            </c:ext>
          </c:extLst>
        </c:ser>
        <c:ser>
          <c:idx val="9"/>
          <c:order val="9"/>
          <c:tx>
            <c:v>Décharge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Sheet1!$AN$2:$AN$101</c:f>
              <c:numCache>
                <c:formatCode>General</c:formatCode>
                <c:ptCount val="100"/>
                <c:pt idx="0">
                  <c:v>12.906521513381531</c:v>
                </c:pt>
                <c:pt idx="1">
                  <c:v>12.805514218462632</c:v>
                </c:pt>
                <c:pt idx="2">
                  <c:v>12.70450692354375</c:v>
                </c:pt>
                <c:pt idx="3">
                  <c:v>12.603499628624592</c:v>
                </c:pt>
                <c:pt idx="4">
                  <c:v>12.502492333705693</c:v>
                </c:pt>
                <c:pt idx="5">
                  <c:v>12.401485038786811</c:v>
                </c:pt>
                <c:pt idx="6">
                  <c:v>12.300477743867912</c:v>
                </c:pt>
                <c:pt idx="7">
                  <c:v>12.199470448949029</c:v>
                </c:pt>
                <c:pt idx="8">
                  <c:v>12.098463154029856</c:v>
                </c:pt>
                <c:pt idx="9">
                  <c:v>11.997455859110973</c:v>
                </c:pt>
                <c:pt idx="10">
                  <c:v>11.89644856419209</c:v>
                </c:pt>
                <c:pt idx="11">
                  <c:v>11.795441269273191</c:v>
                </c:pt>
                <c:pt idx="12">
                  <c:v>11.694433974354309</c:v>
                </c:pt>
                <c:pt idx="13">
                  <c:v>11.593426679435135</c:v>
                </c:pt>
                <c:pt idx="14">
                  <c:v>11.492419384516253</c:v>
                </c:pt>
                <c:pt idx="15">
                  <c:v>11.39141208959737</c:v>
                </c:pt>
                <c:pt idx="16">
                  <c:v>11.290404794678471</c:v>
                </c:pt>
                <c:pt idx="17">
                  <c:v>11.189397499759588</c:v>
                </c:pt>
                <c:pt idx="18">
                  <c:v>11.088390204840691</c:v>
                </c:pt>
                <c:pt idx="19">
                  <c:v>10.987382909921532</c:v>
                </c:pt>
                <c:pt idx="20">
                  <c:v>10.886375615002633</c:v>
                </c:pt>
                <c:pt idx="21">
                  <c:v>10.785368320083752</c:v>
                </c:pt>
                <c:pt idx="22">
                  <c:v>10.684361025164868</c:v>
                </c:pt>
                <c:pt idx="23">
                  <c:v>10.583353730245969</c:v>
                </c:pt>
                <c:pt idx="24">
                  <c:v>10.482346435326813</c:v>
                </c:pt>
                <c:pt idx="25">
                  <c:v>10.381339140407913</c:v>
                </c:pt>
                <c:pt idx="26">
                  <c:v>10.28033184548903</c:v>
                </c:pt>
                <c:pt idx="27">
                  <c:v>10.179324550570133</c:v>
                </c:pt>
                <c:pt idx="28">
                  <c:v>10.07831725565125</c:v>
                </c:pt>
                <c:pt idx="29">
                  <c:v>9.9773099607320912</c:v>
                </c:pt>
                <c:pt idx="30">
                  <c:v>9.876302665813192</c:v>
                </c:pt>
                <c:pt idx="31">
                  <c:v>9.7752953708943107</c:v>
                </c:pt>
                <c:pt idx="32">
                  <c:v>9.6742880759754115</c:v>
                </c:pt>
                <c:pt idx="33">
                  <c:v>9.5732807810565284</c:v>
                </c:pt>
                <c:pt idx="34">
                  <c:v>9.4722734861373556</c:v>
                </c:pt>
                <c:pt idx="35">
                  <c:v>9.3712661912184725</c:v>
                </c:pt>
                <c:pt idx="36">
                  <c:v>9.2702588962995911</c:v>
                </c:pt>
                <c:pt idx="37">
                  <c:v>9.169251601380692</c:v>
                </c:pt>
                <c:pt idx="38">
                  <c:v>9.0682443064618088</c:v>
                </c:pt>
                <c:pt idx="39">
                  <c:v>8.9672370115426361</c:v>
                </c:pt>
                <c:pt idx="40">
                  <c:v>8.8662297166237529</c:v>
                </c:pt>
                <c:pt idx="41">
                  <c:v>8.7652224217048698</c:v>
                </c:pt>
                <c:pt idx="42">
                  <c:v>8.6642151267859724</c:v>
                </c:pt>
                <c:pt idx="43">
                  <c:v>8.5632078318670892</c:v>
                </c:pt>
                <c:pt idx="44">
                  <c:v>8.4622005369481901</c:v>
                </c:pt>
                <c:pt idx="45">
                  <c:v>8.3611932420290316</c:v>
                </c:pt>
                <c:pt idx="46">
                  <c:v>8.2601859471101342</c:v>
                </c:pt>
                <c:pt idx="47">
                  <c:v>8.159178652191251</c:v>
                </c:pt>
                <c:pt idx="48">
                  <c:v>8.0581713572723679</c:v>
                </c:pt>
                <c:pt idx="49">
                  <c:v>7.9571640623534696</c:v>
                </c:pt>
                <c:pt idx="50">
                  <c:v>7.856156767434312</c:v>
                </c:pt>
                <c:pt idx="51">
                  <c:v>7.7551494725154129</c:v>
                </c:pt>
                <c:pt idx="52">
                  <c:v>7.6541421775965306</c:v>
                </c:pt>
                <c:pt idx="53">
                  <c:v>7.5531348826776323</c:v>
                </c:pt>
                <c:pt idx="54">
                  <c:v>7.4521275877587492</c:v>
                </c:pt>
                <c:pt idx="55">
                  <c:v>7.3511202928395916</c:v>
                </c:pt>
                <c:pt idx="56">
                  <c:v>7.2501129979206933</c:v>
                </c:pt>
                <c:pt idx="57">
                  <c:v>7.1491057030018101</c:v>
                </c:pt>
                <c:pt idx="58">
                  <c:v>7.0480984080829119</c:v>
                </c:pt>
                <c:pt idx="59">
                  <c:v>6.9470911131640287</c:v>
                </c:pt>
                <c:pt idx="60">
                  <c:v>6.8460838182448551</c:v>
                </c:pt>
                <c:pt idx="61">
                  <c:v>6.7450765233259729</c:v>
                </c:pt>
                <c:pt idx="62">
                  <c:v>6.6440692284070906</c:v>
                </c:pt>
                <c:pt idx="63">
                  <c:v>6.5430619334881914</c:v>
                </c:pt>
                <c:pt idx="64">
                  <c:v>6.4420546385693092</c:v>
                </c:pt>
                <c:pt idx="65">
                  <c:v>6.3410473436501356</c:v>
                </c:pt>
                <c:pt idx="66">
                  <c:v>6.2400400487312524</c:v>
                </c:pt>
                <c:pt idx="67">
                  <c:v>6.1390327538123701</c:v>
                </c:pt>
                <c:pt idx="68">
                  <c:v>6.038025458893471</c:v>
                </c:pt>
                <c:pt idx="69">
                  <c:v>5.9370181639745887</c:v>
                </c:pt>
                <c:pt idx="70">
                  <c:v>5.8360108690556896</c:v>
                </c:pt>
                <c:pt idx="71">
                  <c:v>5.7350035741365319</c:v>
                </c:pt>
                <c:pt idx="72">
                  <c:v>5.6339962792176337</c:v>
                </c:pt>
                <c:pt idx="73">
                  <c:v>5.5329889842987505</c:v>
                </c:pt>
                <c:pt idx="74">
                  <c:v>5.4319816893798683</c:v>
                </c:pt>
                <c:pt idx="75">
                  <c:v>5.3309743944609691</c:v>
                </c:pt>
                <c:pt idx="76">
                  <c:v>5.2299670995418124</c:v>
                </c:pt>
                <c:pt idx="77">
                  <c:v>5.1289598046229132</c:v>
                </c:pt>
                <c:pt idx="78">
                  <c:v>5.027952509704031</c:v>
                </c:pt>
                <c:pt idx="79">
                  <c:v>4.9269452147851318</c:v>
                </c:pt>
                <c:pt idx="80">
                  <c:v>4.8259379198662486</c:v>
                </c:pt>
                <c:pt idx="81">
                  <c:v>4.7249306249470919</c:v>
                </c:pt>
                <c:pt idx="82">
                  <c:v>4.6239233300281928</c:v>
                </c:pt>
                <c:pt idx="83">
                  <c:v>4.5229160351093096</c:v>
                </c:pt>
                <c:pt idx="84">
                  <c:v>4.4219087401904122</c:v>
                </c:pt>
                <c:pt idx="85">
                  <c:v>4.3209014452715291</c:v>
                </c:pt>
                <c:pt idx="86">
                  <c:v>4.2198941503523546</c:v>
                </c:pt>
                <c:pt idx="87">
                  <c:v>4.1188868554334732</c:v>
                </c:pt>
                <c:pt idx="88">
                  <c:v>4.0178795605145901</c:v>
                </c:pt>
                <c:pt idx="89">
                  <c:v>3.9168722655956909</c:v>
                </c:pt>
                <c:pt idx="90">
                  <c:v>3.8158649706768095</c:v>
                </c:pt>
                <c:pt idx="91">
                  <c:v>3.7148576757579104</c:v>
                </c:pt>
                <c:pt idx="92">
                  <c:v>3.6138503808387519</c:v>
                </c:pt>
                <c:pt idx="93">
                  <c:v>3.5128430859198705</c:v>
                </c:pt>
                <c:pt idx="94">
                  <c:v>3.4118357910009713</c:v>
                </c:pt>
                <c:pt idx="95">
                  <c:v>3.3108284960820882</c:v>
                </c:pt>
                <c:pt idx="96">
                  <c:v>3.209821201163189</c:v>
                </c:pt>
                <c:pt idx="97">
                  <c:v>3.1088139062440323</c:v>
                </c:pt>
                <c:pt idx="98">
                  <c:v>3.0078066113251332</c:v>
                </c:pt>
                <c:pt idx="99">
                  <c:v>2.90679931640625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BA5-48DB-8D03-38888921E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385439"/>
        <c:axId val="901393343"/>
      </c:scatterChart>
      <c:valAx>
        <c:axId val="90138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Capacité (mA.h)</a:t>
                </a:r>
              </a:p>
            </c:rich>
          </c:tx>
          <c:layout>
            <c:manualLayout>
              <c:xMode val="edge"/>
              <c:yMode val="edge"/>
              <c:x val="0.44972754807990528"/>
              <c:y val="0.90199371742959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393343"/>
        <c:crosses val="autoZero"/>
        <c:crossBetween val="midCat"/>
      </c:valAx>
      <c:valAx>
        <c:axId val="9013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1385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baseline="0">
                <a:effectLst/>
              </a:rPr>
              <a:t>Evolution de la tension en fonction de l'état de charge d'une cellule électrochimique commérciale</a:t>
            </a:r>
            <a:endParaRPr lang="fr-FR" sz="1400">
              <a:effectLst/>
            </a:endParaRPr>
          </a:p>
        </c:rich>
      </c:tx>
      <c:layout>
        <c:manualLayout>
          <c:xMode val="edge"/>
          <c:yMode val="edge"/>
          <c:x val="0.12950929533653321"/>
          <c:y val="2.00292026826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Sheet1!$E$2:$E$101</c:f>
              <c:numCache>
                <c:formatCode>General</c:formatCode>
                <c:ptCount val="100"/>
                <c:pt idx="0">
                  <c:v>23.369922914724579</c:v>
                </c:pt>
                <c:pt idx="1">
                  <c:v>24.143964097404126</c:v>
                </c:pt>
                <c:pt idx="2">
                  <c:v>24.918005280083676</c:v>
                </c:pt>
                <c:pt idx="3">
                  <c:v>25.692046462763233</c:v>
                </c:pt>
                <c:pt idx="4">
                  <c:v>26.466087645442776</c:v>
                </c:pt>
                <c:pt idx="5">
                  <c:v>27.240128828122334</c:v>
                </c:pt>
                <c:pt idx="6">
                  <c:v>28.014170010801877</c:v>
                </c:pt>
                <c:pt idx="7">
                  <c:v>28.788211193481416</c:v>
                </c:pt>
                <c:pt idx="8">
                  <c:v>29.562252376160981</c:v>
                </c:pt>
                <c:pt idx="9">
                  <c:v>30.336293558840516</c:v>
                </c:pt>
                <c:pt idx="10">
                  <c:v>31.110334741520081</c:v>
                </c:pt>
                <c:pt idx="11">
                  <c:v>31.88437592419962</c:v>
                </c:pt>
                <c:pt idx="12">
                  <c:v>32.658417106879178</c:v>
                </c:pt>
                <c:pt idx="13">
                  <c:v>33.432458289558717</c:v>
                </c:pt>
                <c:pt idx="14">
                  <c:v>34.206499472238278</c:v>
                </c:pt>
                <c:pt idx="15">
                  <c:v>34.980540654917817</c:v>
                </c:pt>
                <c:pt idx="16">
                  <c:v>35.754581837597385</c:v>
                </c:pt>
                <c:pt idx="17">
                  <c:v>36.528623020276925</c:v>
                </c:pt>
                <c:pt idx="18">
                  <c:v>37.302664202956478</c:v>
                </c:pt>
                <c:pt idx="19">
                  <c:v>38.076705385636025</c:v>
                </c:pt>
                <c:pt idx="20">
                  <c:v>38.850746568315586</c:v>
                </c:pt>
                <c:pt idx="21">
                  <c:v>39.624787750995125</c:v>
                </c:pt>
                <c:pt idx="22">
                  <c:v>40.398828933674665</c:v>
                </c:pt>
                <c:pt idx="23">
                  <c:v>41.172870116354225</c:v>
                </c:pt>
                <c:pt idx="24">
                  <c:v>41.946911299033765</c:v>
                </c:pt>
                <c:pt idx="25">
                  <c:v>42.720952481713333</c:v>
                </c:pt>
                <c:pt idx="26">
                  <c:v>43.494993664392865</c:v>
                </c:pt>
                <c:pt idx="27">
                  <c:v>44.269034847072433</c:v>
                </c:pt>
                <c:pt idx="28">
                  <c:v>45.043076029752008</c:v>
                </c:pt>
                <c:pt idx="29">
                  <c:v>45.817117212431576</c:v>
                </c:pt>
                <c:pt idx="30">
                  <c:v>46.591158395111137</c:v>
                </c:pt>
                <c:pt idx="31">
                  <c:v>47.365199577790698</c:v>
                </c:pt>
                <c:pt idx="32">
                  <c:v>48.139240760470258</c:v>
                </c:pt>
                <c:pt idx="33">
                  <c:v>48.913281943149819</c:v>
                </c:pt>
                <c:pt idx="34">
                  <c:v>49.68732312582938</c:v>
                </c:pt>
                <c:pt idx="35">
                  <c:v>50.461364308508728</c:v>
                </c:pt>
                <c:pt idx="36">
                  <c:v>51.235405491188288</c:v>
                </c:pt>
                <c:pt idx="37">
                  <c:v>52.009446673867842</c:v>
                </c:pt>
                <c:pt idx="38">
                  <c:v>52.783487856547417</c:v>
                </c:pt>
                <c:pt idx="39">
                  <c:v>53.557529039226971</c:v>
                </c:pt>
                <c:pt idx="40">
                  <c:v>54.331570221906532</c:v>
                </c:pt>
                <c:pt idx="41">
                  <c:v>55.105611404586085</c:v>
                </c:pt>
                <c:pt idx="42">
                  <c:v>55.87965258726566</c:v>
                </c:pt>
                <c:pt idx="43">
                  <c:v>56.653693769945214</c:v>
                </c:pt>
                <c:pt idx="44">
                  <c:v>57.427734952624775</c:v>
                </c:pt>
                <c:pt idx="45">
                  <c:v>58.201776135304343</c:v>
                </c:pt>
                <c:pt idx="46">
                  <c:v>58.975817317983889</c:v>
                </c:pt>
                <c:pt idx="47">
                  <c:v>59.749858500663457</c:v>
                </c:pt>
                <c:pt idx="48">
                  <c:v>60.523899683343018</c:v>
                </c:pt>
                <c:pt idx="49">
                  <c:v>61.297940866022586</c:v>
                </c:pt>
                <c:pt idx="50">
                  <c:v>62.071982048702132</c:v>
                </c:pt>
                <c:pt idx="51">
                  <c:v>62.8460232313817</c:v>
                </c:pt>
                <c:pt idx="52">
                  <c:v>63.620064414061275</c:v>
                </c:pt>
                <c:pt idx="53">
                  <c:v>64.394105596740829</c:v>
                </c:pt>
                <c:pt idx="54">
                  <c:v>65.168146779420184</c:v>
                </c:pt>
                <c:pt idx="55">
                  <c:v>65.942187962099737</c:v>
                </c:pt>
                <c:pt idx="56">
                  <c:v>66.716229144779291</c:v>
                </c:pt>
                <c:pt idx="57">
                  <c:v>67.490270327458859</c:v>
                </c:pt>
                <c:pt idx="58">
                  <c:v>68.264311510138413</c:v>
                </c:pt>
                <c:pt idx="59">
                  <c:v>69.03835269281798</c:v>
                </c:pt>
                <c:pt idx="60">
                  <c:v>69.812393875497548</c:v>
                </c:pt>
                <c:pt idx="61">
                  <c:v>70.586435058177102</c:v>
                </c:pt>
                <c:pt idx="62">
                  <c:v>71.360476240856656</c:v>
                </c:pt>
                <c:pt idx="63">
                  <c:v>72.134517423536209</c:v>
                </c:pt>
                <c:pt idx="64">
                  <c:v>72.908558606215792</c:v>
                </c:pt>
                <c:pt idx="65">
                  <c:v>73.682599788895345</c:v>
                </c:pt>
                <c:pt idx="66">
                  <c:v>74.456640971574899</c:v>
                </c:pt>
                <c:pt idx="67">
                  <c:v>75.230682154254481</c:v>
                </c:pt>
                <c:pt idx="68">
                  <c:v>76.004723336934035</c:v>
                </c:pt>
                <c:pt idx="69">
                  <c:v>76.778764519613588</c:v>
                </c:pt>
                <c:pt idx="70">
                  <c:v>77.552805702293156</c:v>
                </c:pt>
                <c:pt idx="71">
                  <c:v>78.326846884972724</c:v>
                </c:pt>
                <c:pt idx="72">
                  <c:v>79.100888067652278</c:v>
                </c:pt>
                <c:pt idx="73">
                  <c:v>79.874929250331633</c:v>
                </c:pt>
                <c:pt idx="74">
                  <c:v>80.648970433011186</c:v>
                </c:pt>
                <c:pt idx="75">
                  <c:v>81.42301161569074</c:v>
                </c:pt>
                <c:pt idx="76">
                  <c:v>82.197052798370308</c:v>
                </c:pt>
                <c:pt idx="77">
                  <c:v>82.971093981049876</c:v>
                </c:pt>
                <c:pt idx="78">
                  <c:v>83.745135163729429</c:v>
                </c:pt>
                <c:pt idx="79">
                  <c:v>84.519176346408997</c:v>
                </c:pt>
                <c:pt idx="80">
                  <c:v>85.293217529088551</c:v>
                </c:pt>
                <c:pt idx="81">
                  <c:v>86.067258711768119</c:v>
                </c:pt>
                <c:pt idx="82">
                  <c:v>86.841299894447673</c:v>
                </c:pt>
                <c:pt idx="83">
                  <c:v>87.615341077127241</c:v>
                </c:pt>
                <c:pt idx="84">
                  <c:v>88.389382259806794</c:v>
                </c:pt>
                <c:pt idx="85">
                  <c:v>89.163423442486362</c:v>
                </c:pt>
                <c:pt idx="86">
                  <c:v>89.937464625165916</c:v>
                </c:pt>
                <c:pt idx="87">
                  <c:v>90.711505807845469</c:v>
                </c:pt>
                <c:pt idx="88">
                  <c:v>91.485546990525037</c:v>
                </c:pt>
                <c:pt idx="89">
                  <c:v>92.259588173204605</c:v>
                </c:pt>
                <c:pt idx="90">
                  <c:v>93.033629355884159</c:v>
                </c:pt>
                <c:pt idx="91">
                  <c:v>93.807670538563514</c:v>
                </c:pt>
                <c:pt idx="92">
                  <c:v>94.581711721243082</c:v>
                </c:pt>
                <c:pt idx="93">
                  <c:v>95.355752903922635</c:v>
                </c:pt>
                <c:pt idx="94">
                  <c:v>96.129794086602203</c:v>
                </c:pt>
                <c:pt idx="95">
                  <c:v>96.903835269281771</c:v>
                </c:pt>
                <c:pt idx="96">
                  <c:v>97.677876451961325</c:v>
                </c:pt>
                <c:pt idx="97">
                  <c:v>98.451917634640893</c:v>
                </c:pt>
                <c:pt idx="98">
                  <c:v>99.225958817320461</c:v>
                </c:pt>
                <c:pt idx="99">
                  <c:v>100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48-424F-BB83-CB92BF8D3CD7}"/>
            </c:ext>
          </c:extLst>
        </c:ser>
        <c:ser>
          <c:idx val="1"/>
          <c:order val="1"/>
          <c:tx>
            <c:v>Décharge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Sheet1!$I$2:$I$101</c:f>
              <c:numCache>
                <c:formatCode>General</c:formatCode>
                <c:ptCount val="100"/>
                <c:pt idx="0">
                  <c:v>100</c:v>
                </c:pt>
                <c:pt idx="1">
                  <c:v>99.225958817320446</c:v>
                </c:pt>
                <c:pt idx="2">
                  <c:v>98.451917634640878</c:v>
                </c:pt>
                <c:pt idx="3">
                  <c:v>97.677876451961311</c:v>
                </c:pt>
                <c:pt idx="4">
                  <c:v>96.903835269281757</c:v>
                </c:pt>
                <c:pt idx="5">
                  <c:v>96.129794086602203</c:v>
                </c:pt>
                <c:pt idx="6">
                  <c:v>95.355752903922635</c:v>
                </c:pt>
                <c:pt idx="7">
                  <c:v>94.581711721243082</c:v>
                </c:pt>
                <c:pt idx="8">
                  <c:v>93.807670538563514</c:v>
                </c:pt>
                <c:pt idx="9">
                  <c:v>93.033629355883946</c:v>
                </c:pt>
                <c:pt idx="10">
                  <c:v>92.259588173204392</c:v>
                </c:pt>
                <c:pt idx="11">
                  <c:v>91.485546990525037</c:v>
                </c:pt>
                <c:pt idx="12">
                  <c:v>90.711505807845484</c:v>
                </c:pt>
                <c:pt idx="13">
                  <c:v>89.937464625165916</c:v>
                </c:pt>
                <c:pt idx="14">
                  <c:v>89.163423442486362</c:v>
                </c:pt>
                <c:pt idx="15">
                  <c:v>88.389382259806794</c:v>
                </c:pt>
                <c:pt idx="16">
                  <c:v>87.615341077127226</c:v>
                </c:pt>
                <c:pt idx="17">
                  <c:v>86.841299894447687</c:v>
                </c:pt>
                <c:pt idx="18">
                  <c:v>86.067258711768119</c:v>
                </c:pt>
                <c:pt idx="19">
                  <c:v>85.293217529088565</c:v>
                </c:pt>
                <c:pt idx="20">
                  <c:v>84.519176346408997</c:v>
                </c:pt>
                <c:pt idx="21">
                  <c:v>83.745135163729429</c:v>
                </c:pt>
                <c:pt idx="22">
                  <c:v>82.971093981049876</c:v>
                </c:pt>
                <c:pt idx="23">
                  <c:v>82.197052798370308</c:v>
                </c:pt>
                <c:pt idx="24">
                  <c:v>81.42301161569074</c:v>
                </c:pt>
                <c:pt idx="25">
                  <c:v>80.648970433011186</c:v>
                </c:pt>
                <c:pt idx="26">
                  <c:v>79.874929250331618</c:v>
                </c:pt>
                <c:pt idx="27">
                  <c:v>79.10088806765205</c:v>
                </c:pt>
                <c:pt idx="28">
                  <c:v>78.326846884972497</c:v>
                </c:pt>
                <c:pt idx="29">
                  <c:v>77.552805702292943</c:v>
                </c:pt>
                <c:pt idx="30">
                  <c:v>76.778764519613389</c:v>
                </c:pt>
                <c:pt idx="31">
                  <c:v>76.004723336934035</c:v>
                </c:pt>
                <c:pt idx="32">
                  <c:v>75.230682154254481</c:v>
                </c:pt>
                <c:pt idx="33">
                  <c:v>74.456640971574899</c:v>
                </c:pt>
                <c:pt idx="34">
                  <c:v>73.682599788895345</c:v>
                </c:pt>
                <c:pt idx="35">
                  <c:v>72.908558606215792</c:v>
                </c:pt>
                <c:pt idx="36">
                  <c:v>72.134517423536209</c:v>
                </c:pt>
                <c:pt idx="37">
                  <c:v>71.36047624085667</c:v>
                </c:pt>
                <c:pt idx="38">
                  <c:v>70.586435058177102</c:v>
                </c:pt>
                <c:pt idx="39">
                  <c:v>69.812393875497548</c:v>
                </c:pt>
                <c:pt idx="40">
                  <c:v>69.03835269281798</c:v>
                </c:pt>
                <c:pt idx="41">
                  <c:v>68.264311510138413</c:v>
                </c:pt>
                <c:pt idx="42">
                  <c:v>67.490270327458873</c:v>
                </c:pt>
                <c:pt idx="43">
                  <c:v>66.716229144779291</c:v>
                </c:pt>
                <c:pt idx="44">
                  <c:v>65.942187962099723</c:v>
                </c:pt>
                <c:pt idx="45">
                  <c:v>65.168146779420184</c:v>
                </c:pt>
                <c:pt idx="46">
                  <c:v>64.394105596740602</c:v>
                </c:pt>
                <c:pt idx="47">
                  <c:v>63.620064414061048</c:v>
                </c:pt>
                <c:pt idx="48">
                  <c:v>62.846023231381501</c:v>
                </c:pt>
                <c:pt idx="49">
                  <c:v>62.071982048701912</c:v>
                </c:pt>
                <c:pt idx="50">
                  <c:v>61.297940866022373</c:v>
                </c:pt>
                <c:pt idx="51">
                  <c:v>60.523899683343018</c:v>
                </c:pt>
                <c:pt idx="52">
                  <c:v>59.749858500663457</c:v>
                </c:pt>
                <c:pt idx="53">
                  <c:v>58.975817317983903</c:v>
                </c:pt>
                <c:pt idx="54">
                  <c:v>58.201776135304343</c:v>
                </c:pt>
                <c:pt idx="55">
                  <c:v>57.427734952624775</c:v>
                </c:pt>
                <c:pt idx="56">
                  <c:v>56.653693769945214</c:v>
                </c:pt>
                <c:pt idx="57">
                  <c:v>55.879652587265646</c:v>
                </c:pt>
                <c:pt idx="58">
                  <c:v>55.105611404586099</c:v>
                </c:pt>
                <c:pt idx="59">
                  <c:v>54.331570221906532</c:v>
                </c:pt>
                <c:pt idx="60">
                  <c:v>53.557529039226971</c:v>
                </c:pt>
                <c:pt idx="61">
                  <c:v>52.78348785654741</c:v>
                </c:pt>
                <c:pt idx="62">
                  <c:v>52.009446673867842</c:v>
                </c:pt>
                <c:pt idx="63">
                  <c:v>51.235405491188288</c:v>
                </c:pt>
                <c:pt idx="64">
                  <c:v>50.461364308508728</c:v>
                </c:pt>
                <c:pt idx="65">
                  <c:v>49.687323125829167</c:v>
                </c:pt>
                <c:pt idx="66">
                  <c:v>48.913281943149599</c:v>
                </c:pt>
                <c:pt idx="67">
                  <c:v>48.139240760470045</c:v>
                </c:pt>
                <c:pt idx="68">
                  <c:v>47.365199577790477</c:v>
                </c:pt>
                <c:pt idx="69">
                  <c:v>46.591158395110917</c:v>
                </c:pt>
                <c:pt idx="70">
                  <c:v>45.817117212431363</c:v>
                </c:pt>
                <c:pt idx="71">
                  <c:v>45.043076029752008</c:v>
                </c:pt>
                <c:pt idx="72">
                  <c:v>44.269034847072447</c:v>
                </c:pt>
                <c:pt idx="73">
                  <c:v>43.494993664392887</c:v>
                </c:pt>
                <c:pt idx="74">
                  <c:v>42.720952481713319</c:v>
                </c:pt>
                <c:pt idx="75">
                  <c:v>41.946911299033751</c:v>
                </c:pt>
                <c:pt idx="76">
                  <c:v>41.172870116354204</c:v>
                </c:pt>
                <c:pt idx="77">
                  <c:v>40.398828933674643</c:v>
                </c:pt>
                <c:pt idx="78">
                  <c:v>39.624787750995083</c:v>
                </c:pt>
                <c:pt idx="79">
                  <c:v>38.850746568315515</c:v>
                </c:pt>
                <c:pt idx="80">
                  <c:v>38.076705385635961</c:v>
                </c:pt>
                <c:pt idx="81">
                  <c:v>37.302664202956393</c:v>
                </c:pt>
                <c:pt idx="82">
                  <c:v>36.528623020276854</c:v>
                </c:pt>
                <c:pt idx="83">
                  <c:v>35.754581837597257</c:v>
                </c:pt>
                <c:pt idx="84">
                  <c:v>34.980540654917718</c:v>
                </c:pt>
                <c:pt idx="85">
                  <c:v>34.206499472238164</c:v>
                </c:pt>
                <c:pt idx="86">
                  <c:v>33.432458289558582</c:v>
                </c:pt>
                <c:pt idx="87">
                  <c:v>32.658417106879028</c:v>
                </c:pt>
                <c:pt idx="88">
                  <c:v>31.884375924199471</c:v>
                </c:pt>
                <c:pt idx="89">
                  <c:v>31.110334741519917</c:v>
                </c:pt>
                <c:pt idx="90">
                  <c:v>30.336293558840339</c:v>
                </c:pt>
                <c:pt idx="91">
                  <c:v>29.562252376160998</c:v>
                </c:pt>
                <c:pt idx="92">
                  <c:v>28.788211193481445</c:v>
                </c:pt>
                <c:pt idx="93">
                  <c:v>28.014170010801863</c:v>
                </c:pt>
                <c:pt idx="94">
                  <c:v>27.240128828122323</c:v>
                </c:pt>
                <c:pt idx="95">
                  <c:v>26.466087645442769</c:v>
                </c:pt>
                <c:pt idx="96">
                  <c:v>25.692046462763184</c:v>
                </c:pt>
                <c:pt idx="97">
                  <c:v>24.918005280083634</c:v>
                </c:pt>
                <c:pt idx="98">
                  <c:v>24.143964097404076</c:v>
                </c:pt>
                <c:pt idx="99">
                  <c:v>23.369922914724498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48-424F-BB83-CB92BF8D3CD7}"/>
            </c:ext>
          </c:extLst>
        </c:ser>
        <c:ser>
          <c:idx val="2"/>
          <c:order val="2"/>
          <c:tx>
            <c:v>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Sheet1!$M$2:$M$101</c:f>
              <c:numCache>
                <c:formatCode>General</c:formatCode>
                <c:ptCount val="100"/>
                <c:pt idx="0">
                  <c:v>22.468778474358398</c:v>
                </c:pt>
                <c:pt idx="1">
                  <c:v>23.251922126132545</c:v>
                </c:pt>
                <c:pt idx="2">
                  <c:v>24.035065777906699</c:v>
                </c:pt>
                <c:pt idx="3">
                  <c:v>24.818209429680881</c:v>
                </c:pt>
                <c:pt idx="4">
                  <c:v>25.601353081455031</c:v>
                </c:pt>
                <c:pt idx="5">
                  <c:v>26.384496733229184</c:v>
                </c:pt>
                <c:pt idx="6">
                  <c:v>27.167640385003335</c:v>
                </c:pt>
                <c:pt idx="7">
                  <c:v>27.950784036777517</c:v>
                </c:pt>
                <c:pt idx="8">
                  <c:v>28.733927688551663</c:v>
                </c:pt>
                <c:pt idx="9">
                  <c:v>29.517071340325817</c:v>
                </c:pt>
                <c:pt idx="10">
                  <c:v>30.300214992099995</c:v>
                </c:pt>
                <c:pt idx="11">
                  <c:v>31.083358643874149</c:v>
                </c:pt>
                <c:pt idx="12">
                  <c:v>31.866502295648303</c:v>
                </c:pt>
                <c:pt idx="13">
                  <c:v>32.649645947422449</c:v>
                </c:pt>
                <c:pt idx="14">
                  <c:v>33.432789599196624</c:v>
                </c:pt>
                <c:pt idx="15">
                  <c:v>34.215933250970778</c:v>
                </c:pt>
                <c:pt idx="16">
                  <c:v>34.999076902744932</c:v>
                </c:pt>
                <c:pt idx="17">
                  <c:v>35.782220554519114</c:v>
                </c:pt>
                <c:pt idx="18">
                  <c:v>36.565364206293268</c:v>
                </c:pt>
                <c:pt idx="19">
                  <c:v>37.348507858067414</c:v>
                </c:pt>
                <c:pt idx="20">
                  <c:v>38.131651509841596</c:v>
                </c:pt>
                <c:pt idx="21">
                  <c:v>38.91479516161575</c:v>
                </c:pt>
                <c:pt idx="22">
                  <c:v>39.697938813389904</c:v>
                </c:pt>
                <c:pt idx="23">
                  <c:v>40.48108246516405</c:v>
                </c:pt>
                <c:pt idx="24">
                  <c:v>41.264226116938232</c:v>
                </c:pt>
                <c:pt idx="25">
                  <c:v>42.047369768712386</c:v>
                </c:pt>
                <c:pt idx="26">
                  <c:v>42.830513420486533</c:v>
                </c:pt>
                <c:pt idx="27">
                  <c:v>43.613657072260722</c:v>
                </c:pt>
                <c:pt idx="28">
                  <c:v>44.396800724034861</c:v>
                </c:pt>
                <c:pt idx="29">
                  <c:v>45.179944375809015</c:v>
                </c:pt>
                <c:pt idx="30">
                  <c:v>45.963088027583197</c:v>
                </c:pt>
                <c:pt idx="31">
                  <c:v>46.746231679357351</c:v>
                </c:pt>
                <c:pt idx="32">
                  <c:v>47.529375331131504</c:v>
                </c:pt>
                <c:pt idx="33">
                  <c:v>48.312518982905651</c:v>
                </c:pt>
                <c:pt idx="34">
                  <c:v>49.09566263467984</c:v>
                </c:pt>
                <c:pt idx="35">
                  <c:v>49.878806286453987</c:v>
                </c:pt>
                <c:pt idx="36">
                  <c:v>50.661949938228133</c:v>
                </c:pt>
                <c:pt idx="37">
                  <c:v>51.445093590002323</c:v>
                </c:pt>
                <c:pt idx="38">
                  <c:v>52.228237241776462</c:v>
                </c:pt>
                <c:pt idx="39">
                  <c:v>53.011380893550623</c:v>
                </c:pt>
                <c:pt idx="40">
                  <c:v>53.794524545324798</c:v>
                </c:pt>
                <c:pt idx="41">
                  <c:v>54.577668197098951</c:v>
                </c:pt>
                <c:pt idx="42">
                  <c:v>55.360811848873105</c:v>
                </c:pt>
                <c:pt idx="43">
                  <c:v>56.143955500647245</c:v>
                </c:pt>
                <c:pt idx="44">
                  <c:v>56.927099152421434</c:v>
                </c:pt>
                <c:pt idx="45">
                  <c:v>57.710242804195587</c:v>
                </c:pt>
                <c:pt idx="46">
                  <c:v>58.493386455969741</c:v>
                </c:pt>
                <c:pt idx="47">
                  <c:v>59.276530107743916</c:v>
                </c:pt>
                <c:pt idx="48">
                  <c:v>60.05967375951807</c:v>
                </c:pt>
                <c:pt idx="49">
                  <c:v>60.842817411292216</c:v>
                </c:pt>
                <c:pt idx="50">
                  <c:v>61.625961063066406</c:v>
                </c:pt>
                <c:pt idx="51">
                  <c:v>62.409104714840339</c:v>
                </c:pt>
                <c:pt idx="52">
                  <c:v>63.192248366614699</c:v>
                </c:pt>
                <c:pt idx="53">
                  <c:v>63.975392018388845</c:v>
                </c:pt>
                <c:pt idx="54">
                  <c:v>64.758535670163042</c:v>
                </c:pt>
                <c:pt idx="55">
                  <c:v>65.541679321936968</c:v>
                </c:pt>
                <c:pt idx="56">
                  <c:v>66.324822973711107</c:v>
                </c:pt>
                <c:pt idx="57">
                  <c:v>67.107966625485517</c:v>
                </c:pt>
                <c:pt idx="58">
                  <c:v>67.891110277259443</c:v>
                </c:pt>
                <c:pt idx="59">
                  <c:v>68.674253929033597</c:v>
                </c:pt>
                <c:pt idx="60">
                  <c:v>69.457397580807779</c:v>
                </c:pt>
                <c:pt idx="61">
                  <c:v>70.240541232581933</c:v>
                </c:pt>
                <c:pt idx="62">
                  <c:v>71.023684884356086</c:v>
                </c:pt>
                <c:pt idx="63">
                  <c:v>71.806828536130269</c:v>
                </c:pt>
                <c:pt idx="64">
                  <c:v>72.589972187904422</c:v>
                </c:pt>
                <c:pt idx="65">
                  <c:v>73.373115839678576</c:v>
                </c:pt>
                <c:pt idx="66">
                  <c:v>74.15625949145273</c:v>
                </c:pt>
                <c:pt idx="67">
                  <c:v>74.939403143226897</c:v>
                </c:pt>
                <c:pt idx="68">
                  <c:v>75.722546795001051</c:v>
                </c:pt>
                <c:pt idx="69">
                  <c:v>76.505690446775205</c:v>
                </c:pt>
                <c:pt idx="70">
                  <c:v>77.288834098549401</c:v>
                </c:pt>
                <c:pt idx="71">
                  <c:v>78.071977750323526</c:v>
                </c:pt>
                <c:pt idx="72">
                  <c:v>78.85512140209768</c:v>
                </c:pt>
                <c:pt idx="73">
                  <c:v>79.638265053871834</c:v>
                </c:pt>
                <c:pt idx="74">
                  <c:v>80.42140870564603</c:v>
                </c:pt>
                <c:pt idx="75">
                  <c:v>81.20455235742017</c:v>
                </c:pt>
                <c:pt idx="76">
                  <c:v>81.987696009194309</c:v>
                </c:pt>
                <c:pt idx="77">
                  <c:v>82.770839660969344</c:v>
                </c:pt>
                <c:pt idx="78">
                  <c:v>83.553983312743085</c:v>
                </c:pt>
                <c:pt idx="79">
                  <c:v>84.337126964516798</c:v>
                </c:pt>
                <c:pt idx="80">
                  <c:v>85.120270616290554</c:v>
                </c:pt>
                <c:pt idx="81">
                  <c:v>85.903414268064253</c:v>
                </c:pt>
                <c:pt idx="82">
                  <c:v>86.686557919840169</c:v>
                </c:pt>
                <c:pt idx="83">
                  <c:v>87.469701571613882</c:v>
                </c:pt>
                <c:pt idx="84">
                  <c:v>88.252845223387624</c:v>
                </c:pt>
                <c:pt idx="85">
                  <c:v>89.035988875161337</c:v>
                </c:pt>
                <c:pt idx="86">
                  <c:v>89.819132526935078</c:v>
                </c:pt>
                <c:pt idx="87">
                  <c:v>90.602276178710952</c:v>
                </c:pt>
                <c:pt idx="88">
                  <c:v>91.385419830484679</c:v>
                </c:pt>
                <c:pt idx="89">
                  <c:v>92.168563482258406</c:v>
                </c:pt>
                <c:pt idx="90">
                  <c:v>92.951707134032162</c:v>
                </c:pt>
                <c:pt idx="91">
                  <c:v>93.734850785805861</c:v>
                </c:pt>
                <c:pt idx="92">
                  <c:v>94.517994437581763</c:v>
                </c:pt>
                <c:pt idx="93">
                  <c:v>95.301138089355476</c:v>
                </c:pt>
                <c:pt idx="94">
                  <c:v>96.084281741129217</c:v>
                </c:pt>
                <c:pt idx="95">
                  <c:v>96.867425392902931</c:v>
                </c:pt>
                <c:pt idx="96">
                  <c:v>97.650569044676672</c:v>
                </c:pt>
                <c:pt idx="97">
                  <c:v>98.433712696452545</c:v>
                </c:pt>
                <c:pt idx="98">
                  <c:v>99.216856348226287</c:v>
                </c:pt>
                <c:pt idx="99">
                  <c:v>100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48-424F-BB83-CB92BF8D3CD7}"/>
            </c:ext>
          </c:extLst>
        </c:ser>
        <c:ser>
          <c:idx val="3"/>
          <c:order val="3"/>
          <c:tx>
            <c:v>Décharge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Sheet1!$Q$2:$Q$101</c:f>
              <c:numCache>
                <c:formatCode>General</c:formatCode>
                <c:ptCount val="100"/>
                <c:pt idx="0">
                  <c:v>100</c:v>
                </c:pt>
                <c:pt idx="1">
                  <c:v>99.216856348226287</c:v>
                </c:pt>
                <c:pt idx="2">
                  <c:v>98.433712696452545</c:v>
                </c:pt>
                <c:pt idx="3">
                  <c:v>97.650569044676672</c:v>
                </c:pt>
                <c:pt idx="4">
                  <c:v>96.867425392902931</c:v>
                </c:pt>
                <c:pt idx="5">
                  <c:v>96.084281741129217</c:v>
                </c:pt>
                <c:pt idx="6">
                  <c:v>95.301138089355462</c:v>
                </c:pt>
                <c:pt idx="7">
                  <c:v>94.517994437581748</c:v>
                </c:pt>
                <c:pt idx="8">
                  <c:v>93.734850785805861</c:v>
                </c:pt>
                <c:pt idx="9">
                  <c:v>92.951707134032134</c:v>
                </c:pt>
                <c:pt idx="10">
                  <c:v>92.168563482258406</c:v>
                </c:pt>
                <c:pt idx="11">
                  <c:v>91.385419830484679</c:v>
                </c:pt>
                <c:pt idx="12">
                  <c:v>90.602276178710952</c:v>
                </c:pt>
                <c:pt idx="13">
                  <c:v>89.819132526935078</c:v>
                </c:pt>
                <c:pt idx="14">
                  <c:v>89.035988875161337</c:v>
                </c:pt>
                <c:pt idx="15">
                  <c:v>88.252845223387624</c:v>
                </c:pt>
                <c:pt idx="16">
                  <c:v>87.469701571613868</c:v>
                </c:pt>
                <c:pt idx="17">
                  <c:v>86.686557919840155</c:v>
                </c:pt>
                <c:pt idx="18">
                  <c:v>85.903414268064253</c:v>
                </c:pt>
                <c:pt idx="19">
                  <c:v>85.12027061629054</c:v>
                </c:pt>
                <c:pt idx="20">
                  <c:v>84.337126964516798</c:v>
                </c:pt>
                <c:pt idx="21">
                  <c:v>83.553983312743085</c:v>
                </c:pt>
                <c:pt idx="22">
                  <c:v>82.770839660969344</c:v>
                </c:pt>
                <c:pt idx="23">
                  <c:v>81.987696009193471</c:v>
                </c:pt>
                <c:pt idx="24">
                  <c:v>81.204552357419715</c:v>
                </c:pt>
                <c:pt idx="25">
                  <c:v>80.421408705646002</c:v>
                </c:pt>
                <c:pt idx="26">
                  <c:v>79.638265053872274</c:v>
                </c:pt>
                <c:pt idx="27">
                  <c:v>78.855121402098547</c:v>
                </c:pt>
                <c:pt idx="28">
                  <c:v>78.071977750322645</c:v>
                </c:pt>
                <c:pt idx="29">
                  <c:v>77.288834098548946</c:v>
                </c:pt>
                <c:pt idx="30">
                  <c:v>76.505690446775205</c:v>
                </c:pt>
                <c:pt idx="31">
                  <c:v>75.722546795001492</c:v>
                </c:pt>
                <c:pt idx="32">
                  <c:v>74.93940314322775</c:v>
                </c:pt>
                <c:pt idx="33">
                  <c:v>74.156259491451877</c:v>
                </c:pt>
                <c:pt idx="34">
                  <c:v>73.373115839678121</c:v>
                </c:pt>
                <c:pt idx="35">
                  <c:v>72.589972187904422</c:v>
                </c:pt>
                <c:pt idx="36">
                  <c:v>71.806828536130666</c:v>
                </c:pt>
                <c:pt idx="37">
                  <c:v>71.023684884356953</c:v>
                </c:pt>
                <c:pt idx="38">
                  <c:v>70.240541232581052</c:v>
                </c:pt>
                <c:pt idx="39">
                  <c:v>69.457397580807338</c:v>
                </c:pt>
                <c:pt idx="40">
                  <c:v>68.674253929033597</c:v>
                </c:pt>
                <c:pt idx="41">
                  <c:v>67.891110277259884</c:v>
                </c:pt>
                <c:pt idx="42">
                  <c:v>67.107966625486142</c:v>
                </c:pt>
                <c:pt idx="43">
                  <c:v>66.324822973710269</c:v>
                </c:pt>
                <c:pt idx="44">
                  <c:v>65.541679321936513</c:v>
                </c:pt>
                <c:pt idx="45">
                  <c:v>64.758535670162814</c:v>
                </c:pt>
                <c:pt idx="46">
                  <c:v>63.975392018389066</c:v>
                </c:pt>
                <c:pt idx="47">
                  <c:v>63.192248366615352</c:v>
                </c:pt>
                <c:pt idx="48">
                  <c:v>62.409104714839444</c:v>
                </c:pt>
                <c:pt idx="49">
                  <c:v>61.625961063065738</c:v>
                </c:pt>
                <c:pt idx="50">
                  <c:v>60.842817411291996</c:v>
                </c:pt>
                <c:pt idx="51">
                  <c:v>60.059673759518283</c:v>
                </c:pt>
                <c:pt idx="52">
                  <c:v>59.27653010774241</c:v>
                </c:pt>
                <c:pt idx="53">
                  <c:v>58.493386455968668</c:v>
                </c:pt>
                <c:pt idx="54">
                  <c:v>57.71024280419492</c:v>
                </c:pt>
                <c:pt idx="55">
                  <c:v>56.927099152421214</c:v>
                </c:pt>
                <c:pt idx="56">
                  <c:v>56.143955500647472</c:v>
                </c:pt>
                <c:pt idx="57">
                  <c:v>55.360811848871592</c:v>
                </c:pt>
                <c:pt idx="58">
                  <c:v>54.577668197097871</c:v>
                </c:pt>
                <c:pt idx="59">
                  <c:v>53.794524545324137</c:v>
                </c:pt>
                <c:pt idx="60">
                  <c:v>53.011380893550388</c:v>
                </c:pt>
                <c:pt idx="61">
                  <c:v>52.228237241776675</c:v>
                </c:pt>
                <c:pt idx="62">
                  <c:v>51.445093590000809</c:v>
                </c:pt>
                <c:pt idx="63">
                  <c:v>50.66194993822706</c:v>
                </c:pt>
                <c:pt idx="64">
                  <c:v>49.878806286453326</c:v>
                </c:pt>
                <c:pt idx="65">
                  <c:v>49.095662634679577</c:v>
                </c:pt>
                <c:pt idx="66">
                  <c:v>48.3125189829059</c:v>
                </c:pt>
                <c:pt idx="67">
                  <c:v>47.529375331130026</c:v>
                </c:pt>
                <c:pt idx="68">
                  <c:v>46.746231679356278</c:v>
                </c:pt>
                <c:pt idx="69">
                  <c:v>45.963088027582536</c:v>
                </c:pt>
                <c:pt idx="70">
                  <c:v>45.179944375808788</c:v>
                </c:pt>
                <c:pt idx="71">
                  <c:v>44.396800724035053</c:v>
                </c:pt>
                <c:pt idx="72">
                  <c:v>43.61365707225918</c:v>
                </c:pt>
                <c:pt idx="73">
                  <c:v>42.830513420485495</c:v>
                </c:pt>
                <c:pt idx="74">
                  <c:v>42.047369768711754</c:v>
                </c:pt>
                <c:pt idx="75">
                  <c:v>41.264226116938005</c:v>
                </c:pt>
                <c:pt idx="76">
                  <c:v>40.481082465164263</c:v>
                </c:pt>
                <c:pt idx="77">
                  <c:v>39.69793881338839</c:v>
                </c:pt>
                <c:pt idx="78">
                  <c:v>38.914795161614649</c:v>
                </c:pt>
                <c:pt idx="79">
                  <c:v>38.131651509840964</c:v>
                </c:pt>
                <c:pt idx="80">
                  <c:v>37.348507858067222</c:v>
                </c:pt>
                <c:pt idx="81">
                  <c:v>36.565364206293481</c:v>
                </c:pt>
                <c:pt idx="82">
                  <c:v>35.782220554517608</c:v>
                </c:pt>
                <c:pt idx="83">
                  <c:v>34.999076902743852</c:v>
                </c:pt>
                <c:pt idx="84">
                  <c:v>34.215933250970117</c:v>
                </c:pt>
                <c:pt idx="85">
                  <c:v>33.432789599196376</c:v>
                </c:pt>
                <c:pt idx="86">
                  <c:v>32.649645947422691</c:v>
                </c:pt>
                <c:pt idx="87">
                  <c:v>31.866502295646814</c:v>
                </c:pt>
                <c:pt idx="88">
                  <c:v>31.083358643873076</c:v>
                </c:pt>
                <c:pt idx="89">
                  <c:v>30.300214992099335</c:v>
                </c:pt>
                <c:pt idx="90">
                  <c:v>29.517071340325597</c:v>
                </c:pt>
                <c:pt idx="91">
                  <c:v>28.733927688551841</c:v>
                </c:pt>
                <c:pt idx="92">
                  <c:v>27.950784036775968</c:v>
                </c:pt>
                <c:pt idx="93">
                  <c:v>27.167640385002294</c:v>
                </c:pt>
                <c:pt idx="94">
                  <c:v>26.384496733228541</c:v>
                </c:pt>
                <c:pt idx="95">
                  <c:v>25.601353081454803</c:v>
                </c:pt>
                <c:pt idx="96">
                  <c:v>24.818209429681062</c:v>
                </c:pt>
                <c:pt idx="97">
                  <c:v>24.035065777905189</c:v>
                </c:pt>
                <c:pt idx="98">
                  <c:v>23.251922126131447</c:v>
                </c:pt>
                <c:pt idx="99">
                  <c:v>22.468778474357762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48-424F-BB83-CB92BF8D3CD7}"/>
            </c:ext>
          </c:extLst>
        </c:ser>
        <c:ser>
          <c:idx val="4"/>
          <c:order val="4"/>
          <c:tx>
            <c:v>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Sheet1!$U$2:$U$101</c:f>
              <c:numCache>
                <c:formatCode>General</c:formatCode>
                <c:ptCount val="100"/>
                <c:pt idx="0">
                  <c:v>22.48711903618776</c:v>
                </c:pt>
                <c:pt idx="1">
                  <c:v>23.270077429761223</c:v>
                </c:pt>
                <c:pt idx="2">
                  <c:v>24.053035823334685</c:v>
                </c:pt>
                <c:pt idx="3">
                  <c:v>24.835994216910276</c:v>
                </c:pt>
                <c:pt idx="4">
                  <c:v>25.618952610483735</c:v>
                </c:pt>
                <c:pt idx="5">
                  <c:v>26.401911004057197</c:v>
                </c:pt>
                <c:pt idx="6">
                  <c:v>27.184869397630596</c:v>
                </c:pt>
                <c:pt idx="7">
                  <c:v>27.967827791204058</c:v>
                </c:pt>
                <c:pt idx="8">
                  <c:v>28.750786184779653</c:v>
                </c:pt>
                <c:pt idx="9">
                  <c:v>29.533744578353112</c:v>
                </c:pt>
                <c:pt idx="10">
                  <c:v>30.316702971926574</c:v>
                </c:pt>
                <c:pt idx="11">
                  <c:v>31.099661365500037</c:v>
                </c:pt>
                <c:pt idx="12">
                  <c:v>31.882619759073432</c:v>
                </c:pt>
                <c:pt idx="13">
                  <c:v>32.665578152649019</c:v>
                </c:pt>
                <c:pt idx="14">
                  <c:v>33.448536546222492</c:v>
                </c:pt>
                <c:pt idx="15">
                  <c:v>34.231494939795951</c:v>
                </c:pt>
                <c:pt idx="16">
                  <c:v>35.01445333336941</c:v>
                </c:pt>
                <c:pt idx="17">
                  <c:v>35.797411726942869</c:v>
                </c:pt>
                <c:pt idx="18">
                  <c:v>36.580370120516278</c:v>
                </c:pt>
                <c:pt idx="19">
                  <c:v>37.363328514091862</c:v>
                </c:pt>
                <c:pt idx="20">
                  <c:v>38.146286907665321</c:v>
                </c:pt>
                <c:pt idx="21">
                  <c:v>38.92924530123878</c:v>
                </c:pt>
                <c:pt idx="22">
                  <c:v>39.712203694812246</c:v>
                </c:pt>
                <c:pt idx="23">
                  <c:v>40.495162088385712</c:v>
                </c:pt>
                <c:pt idx="24">
                  <c:v>41.278120481961302</c:v>
                </c:pt>
                <c:pt idx="25">
                  <c:v>42.061078875534704</c:v>
                </c:pt>
                <c:pt idx="26">
                  <c:v>42.844037269108163</c:v>
                </c:pt>
                <c:pt idx="27">
                  <c:v>43.626995662681622</c:v>
                </c:pt>
                <c:pt idx="28">
                  <c:v>44.409954056255081</c:v>
                </c:pt>
                <c:pt idx="29">
                  <c:v>45.192912449830672</c:v>
                </c:pt>
                <c:pt idx="30">
                  <c:v>45.975870843404138</c:v>
                </c:pt>
                <c:pt idx="31">
                  <c:v>46.758829236977604</c:v>
                </c:pt>
                <c:pt idx="32">
                  <c:v>47.541787630550999</c:v>
                </c:pt>
                <c:pt idx="33">
                  <c:v>48.324746024124458</c:v>
                </c:pt>
                <c:pt idx="34">
                  <c:v>49.107704417700056</c:v>
                </c:pt>
                <c:pt idx="35">
                  <c:v>49.890662811273515</c:v>
                </c:pt>
                <c:pt idx="36">
                  <c:v>50.673621204846974</c:v>
                </c:pt>
                <c:pt idx="37">
                  <c:v>51.45657959842044</c:v>
                </c:pt>
                <c:pt idx="38">
                  <c:v>52.239537991993835</c:v>
                </c:pt>
                <c:pt idx="39">
                  <c:v>53.022496385569426</c:v>
                </c:pt>
                <c:pt idx="40">
                  <c:v>53.805454779142892</c:v>
                </c:pt>
                <c:pt idx="41">
                  <c:v>54.588413172716358</c:v>
                </c:pt>
                <c:pt idx="42">
                  <c:v>55.37137156628981</c:v>
                </c:pt>
                <c:pt idx="43">
                  <c:v>56.154329959863283</c:v>
                </c:pt>
                <c:pt idx="44">
                  <c:v>56.937288353436678</c:v>
                </c:pt>
                <c:pt idx="45">
                  <c:v>57.720246747012261</c:v>
                </c:pt>
                <c:pt idx="46">
                  <c:v>58.503205140585735</c:v>
                </c:pt>
                <c:pt idx="47">
                  <c:v>59.286163534159186</c:v>
                </c:pt>
                <c:pt idx="48">
                  <c:v>60.069121927732652</c:v>
                </c:pt>
                <c:pt idx="49">
                  <c:v>60.852080321306111</c:v>
                </c:pt>
                <c:pt idx="50">
                  <c:v>61.635038714881709</c:v>
                </c:pt>
                <c:pt idx="51">
                  <c:v>62.417997108455104</c:v>
                </c:pt>
                <c:pt idx="52">
                  <c:v>63.200955502028577</c:v>
                </c:pt>
                <c:pt idx="53">
                  <c:v>63.983913895602029</c:v>
                </c:pt>
                <c:pt idx="54">
                  <c:v>64.766872289175495</c:v>
                </c:pt>
                <c:pt idx="55">
                  <c:v>65.549830682751079</c:v>
                </c:pt>
                <c:pt idx="56">
                  <c:v>66.332789076324545</c:v>
                </c:pt>
                <c:pt idx="57">
                  <c:v>67.11574746989794</c:v>
                </c:pt>
                <c:pt idx="58">
                  <c:v>67.898705863471392</c:v>
                </c:pt>
                <c:pt idx="59">
                  <c:v>68.681664257044872</c:v>
                </c:pt>
                <c:pt idx="60">
                  <c:v>69.464622650620456</c:v>
                </c:pt>
                <c:pt idx="61">
                  <c:v>70.247581044193907</c:v>
                </c:pt>
                <c:pt idx="62">
                  <c:v>71.030539437767388</c:v>
                </c:pt>
                <c:pt idx="63">
                  <c:v>71.81349783134084</c:v>
                </c:pt>
                <c:pt idx="64">
                  <c:v>72.596456224914235</c:v>
                </c:pt>
                <c:pt idx="65">
                  <c:v>73.379414618487701</c:v>
                </c:pt>
                <c:pt idx="66">
                  <c:v>74.162373012063298</c:v>
                </c:pt>
                <c:pt idx="67">
                  <c:v>74.94533140563675</c:v>
                </c:pt>
                <c:pt idx="68">
                  <c:v>75.728289799210216</c:v>
                </c:pt>
                <c:pt idx="69">
                  <c:v>76.511248192783668</c:v>
                </c:pt>
                <c:pt idx="70">
                  <c:v>77.294206586357078</c:v>
                </c:pt>
                <c:pt idx="71">
                  <c:v>78.077164979932675</c:v>
                </c:pt>
                <c:pt idx="72">
                  <c:v>78.860123373506127</c:v>
                </c:pt>
                <c:pt idx="73">
                  <c:v>79.643081767079593</c:v>
                </c:pt>
                <c:pt idx="74">
                  <c:v>80.426040160653059</c:v>
                </c:pt>
                <c:pt idx="75">
                  <c:v>81.208998554226511</c:v>
                </c:pt>
                <c:pt idx="76">
                  <c:v>81.991956947802109</c:v>
                </c:pt>
                <c:pt idx="77">
                  <c:v>82.774915341375504</c:v>
                </c:pt>
                <c:pt idx="78">
                  <c:v>83.557873734948956</c:v>
                </c:pt>
                <c:pt idx="79">
                  <c:v>84.340832128522436</c:v>
                </c:pt>
                <c:pt idx="80">
                  <c:v>85.123790522095902</c:v>
                </c:pt>
                <c:pt idx="81">
                  <c:v>85.906748915671486</c:v>
                </c:pt>
                <c:pt idx="82">
                  <c:v>86.689707309244952</c:v>
                </c:pt>
                <c:pt idx="83">
                  <c:v>87.472665702818347</c:v>
                </c:pt>
                <c:pt idx="84">
                  <c:v>88.255624096391799</c:v>
                </c:pt>
                <c:pt idx="85">
                  <c:v>89.038582489965265</c:v>
                </c:pt>
                <c:pt idx="86">
                  <c:v>89.821540883540862</c:v>
                </c:pt>
                <c:pt idx="87">
                  <c:v>90.604499277114314</c:v>
                </c:pt>
                <c:pt idx="88">
                  <c:v>91.38745767068778</c:v>
                </c:pt>
                <c:pt idx="89">
                  <c:v>92.170416064261246</c:v>
                </c:pt>
                <c:pt idx="90">
                  <c:v>92.953374457834641</c:v>
                </c:pt>
                <c:pt idx="91">
                  <c:v>93.736332851408108</c:v>
                </c:pt>
                <c:pt idx="92">
                  <c:v>94.519291244983691</c:v>
                </c:pt>
                <c:pt idx="93">
                  <c:v>95.302249638557157</c:v>
                </c:pt>
                <c:pt idx="94">
                  <c:v>96.085208032130623</c:v>
                </c:pt>
                <c:pt idx="95">
                  <c:v>96.868166425704075</c:v>
                </c:pt>
                <c:pt idx="96">
                  <c:v>97.651124819277484</c:v>
                </c:pt>
                <c:pt idx="97">
                  <c:v>98.434083212853068</c:v>
                </c:pt>
                <c:pt idx="98">
                  <c:v>99.21704160642652</c:v>
                </c:pt>
                <c:pt idx="99">
                  <c:v>100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48-424F-BB83-CB92BF8D3CD7}"/>
            </c:ext>
          </c:extLst>
        </c:ser>
        <c:ser>
          <c:idx val="5"/>
          <c:order val="5"/>
          <c:tx>
            <c:v>Décharge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Sheet1!$Y$2:$Y$101</c:f>
              <c:numCache>
                <c:formatCode>General</c:formatCode>
                <c:ptCount val="100"/>
                <c:pt idx="0">
                  <c:v>100</c:v>
                </c:pt>
                <c:pt idx="1">
                  <c:v>99.217041606426591</c:v>
                </c:pt>
                <c:pt idx="2">
                  <c:v>98.434083212853139</c:v>
                </c:pt>
                <c:pt idx="3">
                  <c:v>97.651124819277541</c:v>
                </c:pt>
                <c:pt idx="4">
                  <c:v>96.868166425704089</c:v>
                </c:pt>
                <c:pt idx="5">
                  <c:v>96.085208032130637</c:v>
                </c:pt>
                <c:pt idx="6">
                  <c:v>95.302249638557157</c:v>
                </c:pt>
                <c:pt idx="7">
                  <c:v>94.519291244983776</c:v>
                </c:pt>
                <c:pt idx="8">
                  <c:v>93.736332851408179</c:v>
                </c:pt>
                <c:pt idx="9">
                  <c:v>92.953374457834698</c:v>
                </c:pt>
                <c:pt idx="10">
                  <c:v>92.170416064261246</c:v>
                </c:pt>
                <c:pt idx="11">
                  <c:v>91.387457670687795</c:v>
                </c:pt>
                <c:pt idx="12">
                  <c:v>90.604499277114328</c:v>
                </c:pt>
                <c:pt idx="13">
                  <c:v>89.821540883538745</c:v>
                </c:pt>
                <c:pt idx="14">
                  <c:v>89.038582489965336</c:v>
                </c:pt>
                <c:pt idx="15">
                  <c:v>88.25562409639187</c:v>
                </c:pt>
                <c:pt idx="16">
                  <c:v>87.472665702818418</c:v>
                </c:pt>
                <c:pt idx="17">
                  <c:v>86.689707309244952</c:v>
                </c:pt>
                <c:pt idx="18">
                  <c:v>85.906748915671486</c:v>
                </c:pt>
                <c:pt idx="19">
                  <c:v>85.123790522095902</c:v>
                </c:pt>
                <c:pt idx="20">
                  <c:v>84.340832128522436</c:v>
                </c:pt>
                <c:pt idx="21">
                  <c:v>83.557873734949027</c:v>
                </c:pt>
                <c:pt idx="22">
                  <c:v>82.774915341375575</c:v>
                </c:pt>
                <c:pt idx="23">
                  <c:v>81.991956947802109</c:v>
                </c:pt>
                <c:pt idx="24">
                  <c:v>81.208998554226525</c:v>
                </c:pt>
                <c:pt idx="25">
                  <c:v>80.426040160653059</c:v>
                </c:pt>
                <c:pt idx="26">
                  <c:v>79.643081767079593</c:v>
                </c:pt>
                <c:pt idx="27">
                  <c:v>78.860123373506184</c:v>
                </c:pt>
                <c:pt idx="28">
                  <c:v>78.077164979932732</c:v>
                </c:pt>
                <c:pt idx="29">
                  <c:v>77.294206586357134</c:v>
                </c:pt>
                <c:pt idx="30">
                  <c:v>76.511248192783682</c:v>
                </c:pt>
                <c:pt idx="31">
                  <c:v>75.728289799210231</c:v>
                </c:pt>
                <c:pt idx="32">
                  <c:v>74.945331405636765</c:v>
                </c:pt>
                <c:pt idx="33">
                  <c:v>74.16237301206337</c:v>
                </c:pt>
                <c:pt idx="34">
                  <c:v>73.379414618487772</c:v>
                </c:pt>
                <c:pt idx="35">
                  <c:v>72.596456224914306</c:v>
                </c:pt>
                <c:pt idx="36">
                  <c:v>71.813497831340854</c:v>
                </c:pt>
                <c:pt idx="37">
                  <c:v>71.030539437767388</c:v>
                </c:pt>
                <c:pt idx="38">
                  <c:v>70.247581044193922</c:v>
                </c:pt>
                <c:pt idx="39">
                  <c:v>69.464622650620527</c:v>
                </c:pt>
                <c:pt idx="40">
                  <c:v>68.681664257044929</c:v>
                </c:pt>
                <c:pt idx="41">
                  <c:v>67.898705863471463</c:v>
                </c:pt>
                <c:pt idx="42">
                  <c:v>67.115747469898011</c:v>
                </c:pt>
                <c:pt idx="43">
                  <c:v>66.332789076324545</c:v>
                </c:pt>
                <c:pt idx="44">
                  <c:v>65.549830682751093</c:v>
                </c:pt>
                <c:pt idx="45">
                  <c:v>64.766872289175495</c:v>
                </c:pt>
                <c:pt idx="46">
                  <c:v>63.983913895602029</c:v>
                </c:pt>
                <c:pt idx="47">
                  <c:v>63.20095550202862</c:v>
                </c:pt>
                <c:pt idx="48">
                  <c:v>62.417997108455168</c:v>
                </c:pt>
                <c:pt idx="49">
                  <c:v>61.635038714881709</c:v>
                </c:pt>
                <c:pt idx="50">
                  <c:v>60.852080321306126</c:v>
                </c:pt>
                <c:pt idx="51">
                  <c:v>60.06912192773266</c:v>
                </c:pt>
                <c:pt idx="52">
                  <c:v>59.286163534159201</c:v>
                </c:pt>
                <c:pt idx="53">
                  <c:v>58.503205140585798</c:v>
                </c:pt>
                <c:pt idx="54">
                  <c:v>57.720246747012339</c:v>
                </c:pt>
                <c:pt idx="55">
                  <c:v>56.937288353436742</c:v>
                </c:pt>
                <c:pt idx="56">
                  <c:v>56.154329959863283</c:v>
                </c:pt>
                <c:pt idx="57">
                  <c:v>55.371371566289817</c:v>
                </c:pt>
                <c:pt idx="58">
                  <c:v>54.588413172716358</c:v>
                </c:pt>
                <c:pt idx="59">
                  <c:v>53.805454779142956</c:v>
                </c:pt>
                <c:pt idx="60">
                  <c:v>53.022496385567372</c:v>
                </c:pt>
                <c:pt idx="61">
                  <c:v>52.239537991993899</c:v>
                </c:pt>
                <c:pt idx="62">
                  <c:v>51.456579598420447</c:v>
                </c:pt>
                <c:pt idx="63">
                  <c:v>50.673621204846988</c:v>
                </c:pt>
                <c:pt idx="64">
                  <c:v>49.890662811273522</c:v>
                </c:pt>
                <c:pt idx="65">
                  <c:v>49.10770441770012</c:v>
                </c:pt>
                <c:pt idx="66">
                  <c:v>48.324746024124529</c:v>
                </c:pt>
                <c:pt idx="67">
                  <c:v>47.54178763055107</c:v>
                </c:pt>
                <c:pt idx="68">
                  <c:v>46.758829236977604</c:v>
                </c:pt>
                <c:pt idx="69">
                  <c:v>45.975870843404145</c:v>
                </c:pt>
                <c:pt idx="70">
                  <c:v>45.192912449830679</c:v>
                </c:pt>
                <c:pt idx="71">
                  <c:v>44.409954056255089</c:v>
                </c:pt>
                <c:pt idx="72">
                  <c:v>43.626995662681637</c:v>
                </c:pt>
                <c:pt idx="73">
                  <c:v>42.844037269108235</c:v>
                </c:pt>
                <c:pt idx="74">
                  <c:v>42.061078875534768</c:v>
                </c:pt>
                <c:pt idx="75">
                  <c:v>41.278120481961309</c:v>
                </c:pt>
                <c:pt idx="76">
                  <c:v>40.495162088385719</c:v>
                </c:pt>
                <c:pt idx="77">
                  <c:v>39.712203694812253</c:v>
                </c:pt>
                <c:pt idx="78">
                  <c:v>38.929245301238794</c:v>
                </c:pt>
                <c:pt idx="79">
                  <c:v>38.146286907665392</c:v>
                </c:pt>
                <c:pt idx="80">
                  <c:v>37.36332851409194</c:v>
                </c:pt>
                <c:pt idx="81">
                  <c:v>36.580370120516342</c:v>
                </c:pt>
                <c:pt idx="82">
                  <c:v>35.797411726942883</c:v>
                </c:pt>
                <c:pt idx="83">
                  <c:v>35.01445333336941</c:v>
                </c:pt>
                <c:pt idx="84">
                  <c:v>34.231494939795951</c:v>
                </c:pt>
                <c:pt idx="85">
                  <c:v>33.448536546222563</c:v>
                </c:pt>
                <c:pt idx="86">
                  <c:v>32.665578152646972</c:v>
                </c:pt>
                <c:pt idx="87">
                  <c:v>31.882619759073499</c:v>
                </c:pt>
                <c:pt idx="88">
                  <c:v>31.09966136550004</c:v>
                </c:pt>
                <c:pt idx="89">
                  <c:v>30.316702971926585</c:v>
                </c:pt>
                <c:pt idx="90">
                  <c:v>29.533744578353126</c:v>
                </c:pt>
                <c:pt idx="91">
                  <c:v>28.75078618477972</c:v>
                </c:pt>
                <c:pt idx="92">
                  <c:v>27.96782779120413</c:v>
                </c:pt>
                <c:pt idx="93">
                  <c:v>27.184869397630674</c:v>
                </c:pt>
                <c:pt idx="94">
                  <c:v>26.401911004057197</c:v>
                </c:pt>
                <c:pt idx="95">
                  <c:v>25.618952610483742</c:v>
                </c:pt>
                <c:pt idx="96">
                  <c:v>24.835994216910283</c:v>
                </c:pt>
                <c:pt idx="97">
                  <c:v>24.053035823334689</c:v>
                </c:pt>
                <c:pt idx="98">
                  <c:v>23.270077429761233</c:v>
                </c:pt>
                <c:pt idx="99">
                  <c:v>22.487119036187828</c:v>
                </c:pt>
              </c:numCache>
            </c:numRef>
          </c:xVal>
          <c:yVal>
            <c:numRef>
              <c:f>Sheet1!$W$2:$W$101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48-424F-BB83-CB92BF8D3CD7}"/>
            </c:ext>
          </c:extLst>
        </c:ser>
        <c:ser>
          <c:idx val="6"/>
          <c:order val="6"/>
          <c:tx>
            <c:v>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Sheet1!$AC$2:$AC$101</c:f>
              <c:numCache>
                <c:formatCode>General</c:formatCode>
                <c:ptCount val="100"/>
                <c:pt idx="0">
                  <c:v>22.505450922888294</c:v>
                </c:pt>
                <c:pt idx="1">
                  <c:v>23.288224145889021</c:v>
                </c:pt>
                <c:pt idx="2">
                  <c:v>24.070997368889753</c:v>
                </c:pt>
                <c:pt idx="3">
                  <c:v>24.853770591892609</c:v>
                </c:pt>
                <c:pt idx="4">
                  <c:v>25.636543814893344</c:v>
                </c:pt>
                <c:pt idx="5">
                  <c:v>26.419317037894007</c:v>
                </c:pt>
                <c:pt idx="6">
                  <c:v>27.202090260894735</c:v>
                </c:pt>
                <c:pt idx="7">
                  <c:v>27.984863483895467</c:v>
                </c:pt>
                <c:pt idx="8">
                  <c:v>28.767636706898326</c:v>
                </c:pt>
                <c:pt idx="9">
                  <c:v>29.55040992989905</c:v>
                </c:pt>
                <c:pt idx="10">
                  <c:v>30.333183152899785</c:v>
                </c:pt>
                <c:pt idx="11">
                  <c:v>31.115956375900446</c:v>
                </c:pt>
                <c:pt idx="12">
                  <c:v>31.89872959890117</c:v>
                </c:pt>
                <c:pt idx="13">
                  <c:v>32.681502821904033</c:v>
                </c:pt>
                <c:pt idx="14">
                  <c:v>33.464276044904764</c:v>
                </c:pt>
                <c:pt idx="15">
                  <c:v>34.247049267905503</c:v>
                </c:pt>
                <c:pt idx="16">
                  <c:v>35.02982249090622</c:v>
                </c:pt>
                <c:pt idx="17">
                  <c:v>35.812595713906944</c:v>
                </c:pt>
                <c:pt idx="18">
                  <c:v>36.595368936907619</c:v>
                </c:pt>
                <c:pt idx="19">
                  <c:v>37.378142159910475</c:v>
                </c:pt>
                <c:pt idx="20">
                  <c:v>38.160915382911206</c:v>
                </c:pt>
                <c:pt idx="21">
                  <c:v>38.94368860591193</c:v>
                </c:pt>
                <c:pt idx="22">
                  <c:v>39.726461828912662</c:v>
                </c:pt>
                <c:pt idx="23">
                  <c:v>40.509235051913393</c:v>
                </c:pt>
                <c:pt idx="24">
                  <c:v>41.292008274916256</c:v>
                </c:pt>
                <c:pt idx="25">
                  <c:v>42.074781497916916</c:v>
                </c:pt>
                <c:pt idx="26">
                  <c:v>42.857554720917648</c:v>
                </c:pt>
                <c:pt idx="27">
                  <c:v>43.640327943918379</c:v>
                </c:pt>
                <c:pt idx="28">
                  <c:v>44.423101166919096</c:v>
                </c:pt>
                <c:pt idx="29">
                  <c:v>45.205874389921959</c:v>
                </c:pt>
                <c:pt idx="30">
                  <c:v>45.988647612922698</c:v>
                </c:pt>
                <c:pt idx="31">
                  <c:v>46.771420835923358</c:v>
                </c:pt>
                <c:pt idx="32">
                  <c:v>47.554194058924082</c:v>
                </c:pt>
                <c:pt idx="33">
                  <c:v>48.336967281924814</c:v>
                </c:pt>
                <c:pt idx="34">
                  <c:v>49.11974050492767</c:v>
                </c:pt>
                <c:pt idx="35">
                  <c:v>49.902513727928408</c:v>
                </c:pt>
                <c:pt idx="36">
                  <c:v>50.685286950929132</c:v>
                </c:pt>
                <c:pt idx="37">
                  <c:v>51.468060173929807</c:v>
                </c:pt>
                <c:pt idx="38">
                  <c:v>52.250833396930531</c:v>
                </c:pt>
                <c:pt idx="39">
                  <c:v>53.033606619933394</c:v>
                </c:pt>
                <c:pt idx="40">
                  <c:v>53.816379842934111</c:v>
                </c:pt>
                <c:pt idx="41">
                  <c:v>54.59915306593485</c:v>
                </c:pt>
                <c:pt idx="42">
                  <c:v>55.381926288935567</c:v>
                </c:pt>
                <c:pt idx="43">
                  <c:v>56.164699511936298</c:v>
                </c:pt>
                <c:pt idx="44">
                  <c:v>56.947472734936966</c:v>
                </c:pt>
                <c:pt idx="45">
                  <c:v>57.730245957939829</c:v>
                </c:pt>
                <c:pt idx="46">
                  <c:v>58.51301918094056</c:v>
                </c:pt>
                <c:pt idx="47">
                  <c:v>59.295792403941284</c:v>
                </c:pt>
                <c:pt idx="48">
                  <c:v>60.078565626942016</c:v>
                </c:pt>
                <c:pt idx="49">
                  <c:v>60.861338849942747</c:v>
                </c:pt>
                <c:pt idx="50">
                  <c:v>61.644112072945603</c:v>
                </c:pt>
                <c:pt idx="51">
                  <c:v>62.426885295946263</c:v>
                </c:pt>
                <c:pt idx="52">
                  <c:v>63.209658518947009</c:v>
                </c:pt>
                <c:pt idx="53">
                  <c:v>63.992431741947733</c:v>
                </c:pt>
                <c:pt idx="54">
                  <c:v>64.775204964948458</c:v>
                </c:pt>
                <c:pt idx="55">
                  <c:v>65.557978187951321</c:v>
                </c:pt>
                <c:pt idx="56">
                  <c:v>66.340751410952052</c:v>
                </c:pt>
                <c:pt idx="57">
                  <c:v>67.123524633952712</c:v>
                </c:pt>
                <c:pt idx="58">
                  <c:v>67.906297856953429</c:v>
                </c:pt>
                <c:pt idx="59">
                  <c:v>68.689071079954175</c:v>
                </c:pt>
                <c:pt idx="60">
                  <c:v>69.471844302957024</c:v>
                </c:pt>
                <c:pt idx="61">
                  <c:v>70.254617525957755</c:v>
                </c:pt>
                <c:pt idx="62">
                  <c:v>71.037390748958487</c:v>
                </c:pt>
                <c:pt idx="63">
                  <c:v>71.820163971959147</c:v>
                </c:pt>
                <c:pt idx="64">
                  <c:v>72.602937194959878</c:v>
                </c:pt>
                <c:pt idx="65">
                  <c:v>73.38571041796061</c:v>
                </c:pt>
                <c:pt idx="66">
                  <c:v>74.168483640963473</c:v>
                </c:pt>
                <c:pt idx="67">
                  <c:v>74.951256863964204</c:v>
                </c:pt>
                <c:pt idx="68">
                  <c:v>75.734030086964921</c:v>
                </c:pt>
                <c:pt idx="69">
                  <c:v>76.516803309965653</c:v>
                </c:pt>
                <c:pt idx="70">
                  <c:v>77.299576532966313</c:v>
                </c:pt>
                <c:pt idx="71">
                  <c:v>78.08234975596919</c:v>
                </c:pt>
                <c:pt idx="72">
                  <c:v>78.865122978969922</c:v>
                </c:pt>
                <c:pt idx="73">
                  <c:v>79.647896201970653</c:v>
                </c:pt>
                <c:pt idx="74">
                  <c:v>80.43066942497137</c:v>
                </c:pt>
                <c:pt idx="75">
                  <c:v>81.213442647972087</c:v>
                </c:pt>
                <c:pt idx="76">
                  <c:v>81.99621587097495</c:v>
                </c:pt>
                <c:pt idx="77">
                  <c:v>82.778989093975625</c:v>
                </c:pt>
                <c:pt idx="78">
                  <c:v>83.561762316976356</c:v>
                </c:pt>
                <c:pt idx="79">
                  <c:v>84.344535539977102</c:v>
                </c:pt>
                <c:pt idx="80">
                  <c:v>85.127308762977819</c:v>
                </c:pt>
                <c:pt idx="81">
                  <c:v>85.910081985980682</c:v>
                </c:pt>
                <c:pt idx="82">
                  <c:v>86.692855208981399</c:v>
                </c:pt>
                <c:pt idx="83">
                  <c:v>87.475628431982074</c:v>
                </c:pt>
                <c:pt idx="84">
                  <c:v>88.258401654982805</c:v>
                </c:pt>
                <c:pt idx="85">
                  <c:v>89.041174877983522</c:v>
                </c:pt>
                <c:pt idx="86">
                  <c:v>89.823948100986385</c:v>
                </c:pt>
                <c:pt idx="87">
                  <c:v>90.606721323987102</c:v>
                </c:pt>
                <c:pt idx="88">
                  <c:v>91.389494546987834</c:v>
                </c:pt>
                <c:pt idx="89">
                  <c:v>92.172267769988508</c:v>
                </c:pt>
                <c:pt idx="90">
                  <c:v>92.955040992989225</c:v>
                </c:pt>
                <c:pt idx="91">
                  <c:v>93.737814215989971</c:v>
                </c:pt>
                <c:pt idx="92">
                  <c:v>94.520587438992834</c:v>
                </c:pt>
                <c:pt idx="93">
                  <c:v>95.303360661993551</c:v>
                </c:pt>
                <c:pt idx="94">
                  <c:v>96.086133884994283</c:v>
                </c:pt>
                <c:pt idx="95">
                  <c:v>96.868907107995</c:v>
                </c:pt>
                <c:pt idx="96">
                  <c:v>97.651680330995674</c:v>
                </c:pt>
                <c:pt idx="97">
                  <c:v>98.434453553998537</c:v>
                </c:pt>
                <c:pt idx="98">
                  <c:v>99.217226776999254</c:v>
                </c:pt>
                <c:pt idx="99">
                  <c:v>100</c:v>
                </c:pt>
              </c:numCache>
            </c:numRef>
          </c:xVal>
          <c:yVal>
            <c:numRef>
              <c:f>Sheet1!$AA$2:$AA$101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448-424F-BB83-CB92BF8D3CD7}"/>
            </c:ext>
          </c:extLst>
        </c:ser>
        <c:ser>
          <c:idx val="7"/>
          <c:order val="7"/>
          <c:tx>
            <c:v>Décharge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Sheet1!$AG$2:$AG$101</c:f>
              <c:numCache>
                <c:formatCode>General</c:formatCode>
                <c:ptCount val="100"/>
                <c:pt idx="0">
                  <c:v>100</c:v>
                </c:pt>
                <c:pt idx="1">
                  <c:v>99.217226776999283</c:v>
                </c:pt>
                <c:pt idx="2">
                  <c:v>98.434453553998551</c:v>
                </c:pt>
                <c:pt idx="3">
                  <c:v>97.651680330995688</c:v>
                </c:pt>
                <c:pt idx="4">
                  <c:v>96.868907107994957</c:v>
                </c:pt>
                <c:pt idx="5">
                  <c:v>96.086133884994226</c:v>
                </c:pt>
                <c:pt idx="6">
                  <c:v>95.303360661993494</c:v>
                </c:pt>
                <c:pt idx="7">
                  <c:v>94.520587438992834</c:v>
                </c:pt>
                <c:pt idx="8">
                  <c:v>93.737814215989971</c:v>
                </c:pt>
                <c:pt idx="9">
                  <c:v>92.95504099298924</c:v>
                </c:pt>
                <c:pt idx="10">
                  <c:v>92.172267769988508</c:v>
                </c:pt>
                <c:pt idx="11">
                  <c:v>91.389494546987777</c:v>
                </c:pt>
                <c:pt idx="12">
                  <c:v>90.606721323987045</c:v>
                </c:pt>
                <c:pt idx="13">
                  <c:v>89.823948100984197</c:v>
                </c:pt>
                <c:pt idx="14">
                  <c:v>89.041174877983536</c:v>
                </c:pt>
                <c:pt idx="15">
                  <c:v>88.258401654982805</c:v>
                </c:pt>
                <c:pt idx="16">
                  <c:v>87.475628431982074</c:v>
                </c:pt>
                <c:pt idx="17">
                  <c:v>86.692855208981342</c:v>
                </c:pt>
                <c:pt idx="18">
                  <c:v>85.910081985980625</c:v>
                </c:pt>
                <c:pt idx="19">
                  <c:v>85.127308762977762</c:v>
                </c:pt>
                <c:pt idx="20">
                  <c:v>84.344535539977102</c:v>
                </c:pt>
                <c:pt idx="21">
                  <c:v>83.561762316976356</c:v>
                </c:pt>
                <c:pt idx="22">
                  <c:v>82.778989093975639</c:v>
                </c:pt>
                <c:pt idx="23">
                  <c:v>81.996215870974893</c:v>
                </c:pt>
                <c:pt idx="24">
                  <c:v>81.21344264797203</c:v>
                </c:pt>
                <c:pt idx="25">
                  <c:v>80.430669424971313</c:v>
                </c:pt>
                <c:pt idx="26">
                  <c:v>79.647896201970653</c:v>
                </c:pt>
                <c:pt idx="27">
                  <c:v>78.865122978969922</c:v>
                </c:pt>
                <c:pt idx="28">
                  <c:v>78.082349755969133</c:v>
                </c:pt>
                <c:pt idx="29">
                  <c:v>77.299576532966327</c:v>
                </c:pt>
                <c:pt idx="30">
                  <c:v>76.516803309965667</c:v>
                </c:pt>
                <c:pt idx="31">
                  <c:v>75.734030086964864</c:v>
                </c:pt>
                <c:pt idx="32">
                  <c:v>74.951256863964204</c:v>
                </c:pt>
                <c:pt idx="33">
                  <c:v>74.168483640963416</c:v>
                </c:pt>
                <c:pt idx="34">
                  <c:v>73.385710417960624</c:v>
                </c:pt>
                <c:pt idx="35">
                  <c:v>72.602937194959821</c:v>
                </c:pt>
                <c:pt idx="36">
                  <c:v>71.820163971959161</c:v>
                </c:pt>
                <c:pt idx="37">
                  <c:v>71.037390748958487</c:v>
                </c:pt>
                <c:pt idx="38">
                  <c:v>70.254617525957698</c:v>
                </c:pt>
                <c:pt idx="39">
                  <c:v>69.471844302957038</c:v>
                </c:pt>
                <c:pt idx="40">
                  <c:v>68.689071079954118</c:v>
                </c:pt>
                <c:pt idx="41">
                  <c:v>67.906297856953458</c:v>
                </c:pt>
                <c:pt idx="42">
                  <c:v>67.123524633952655</c:v>
                </c:pt>
                <c:pt idx="43">
                  <c:v>66.340751410951995</c:v>
                </c:pt>
                <c:pt idx="44">
                  <c:v>65.557978187951321</c:v>
                </c:pt>
                <c:pt idx="45">
                  <c:v>64.775204964948401</c:v>
                </c:pt>
                <c:pt idx="46">
                  <c:v>63.992431741947733</c:v>
                </c:pt>
                <c:pt idx="47">
                  <c:v>63.209658518946952</c:v>
                </c:pt>
                <c:pt idx="48">
                  <c:v>62.426885295946278</c:v>
                </c:pt>
                <c:pt idx="49">
                  <c:v>61.64411207294561</c:v>
                </c:pt>
                <c:pt idx="50">
                  <c:v>60.86133884994269</c:v>
                </c:pt>
                <c:pt idx="51">
                  <c:v>60.078565626942023</c:v>
                </c:pt>
                <c:pt idx="52">
                  <c:v>59.295792403941228</c:v>
                </c:pt>
                <c:pt idx="53">
                  <c:v>58.513019180940574</c:v>
                </c:pt>
                <c:pt idx="54">
                  <c:v>57.730245957939772</c:v>
                </c:pt>
                <c:pt idx="55">
                  <c:v>56.94747273493698</c:v>
                </c:pt>
                <c:pt idx="56">
                  <c:v>56.164699511936313</c:v>
                </c:pt>
                <c:pt idx="57">
                  <c:v>55.38192628893551</c:v>
                </c:pt>
                <c:pt idx="58">
                  <c:v>54.599153065934857</c:v>
                </c:pt>
                <c:pt idx="59">
                  <c:v>53.816379842934062</c:v>
                </c:pt>
                <c:pt idx="60">
                  <c:v>53.033606619931263</c:v>
                </c:pt>
                <c:pt idx="61">
                  <c:v>52.250833396930474</c:v>
                </c:pt>
                <c:pt idx="62">
                  <c:v>51.468060173929807</c:v>
                </c:pt>
                <c:pt idx="63">
                  <c:v>50.685286950929139</c:v>
                </c:pt>
                <c:pt idx="64">
                  <c:v>49.902513727928344</c:v>
                </c:pt>
                <c:pt idx="65">
                  <c:v>49.119740504927684</c:v>
                </c:pt>
                <c:pt idx="66">
                  <c:v>48.336967281924757</c:v>
                </c:pt>
                <c:pt idx="67">
                  <c:v>47.554194058924097</c:v>
                </c:pt>
                <c:pt idx="68">
                  <c:v>46.771420835923429</c:v>
                </c:pt>
                <c:pt idx="69">
                  <c:v>45.988647612922641</c:v>
                </c:pt>
                <c:pt idx="70">
                  <c:v>45.205874389921966</c:v>
                </c:pt>
                <c:pt idx="71">
                  <c:v>44.423101166919047</c:v>
                </c:pt>
                <c:pt idx="72">
                  <c:v>43.640327943918386</c:v>
                </c:pt>
                <c:pt idx="73">
                  <c:v>42.857554720917591</c:v>
                </c:pt>
                <c:pt idx="74">
                  <c:v>42.074781497916923</c:v>
                </c:pt>
                <c:pt idx="75">
                  <c:v>41.292008274916256</c:v>
                </c:pt>
                <c:pt idx="76">
                  <c:v>40.509235051913336</c:v>
                </c:pt>
                <c:pt idx="77">
                  <c:v>39.726461828912669</c:v>
                </c:pt>
                <c:pt idx="78">
                  <c:v>38.943688605911881</c:v>
                </c:pt>
                <c:pt idx="79">
                  <c:v>38.160915382911206</c:v>
                </c:pt>
                <c:pt idx="80">
                  <c:v>37.378142159910425</c:v>
                </c:pt>
                <c:pt idx="81">
                  <c:v>36.595368936907619</c:v>
                </c:pt>
                <c:pt idx="82">
                  <c:v>35.812595713906965</c:v>
                </c:pt>
                <c:pt idx="83">
                  <c:v>35.029822490906163</c:v>
                </c:pt>
                <c:pt idx="84">
                  <c:v>34.247049267905503</c:v>
                </c:pt>
                <c:pt idx="85">
                  <c:v>33.4642760449047</c:v>
                </c:pt>
                <c:pt idx="86">
                  <c:v>32.681502821901915</c:v>
                </c:pt>
                <c:pt idx="87">
                  <c:v>31.898729598901117</c:v>
                </c:pt>
                <c:pt idx="88">
                  <c:v>31.11595637590046</c:v>
                </c:pt>
                <c:pt idx="89">
                  <c:v>30.333183152899789</c:v>
                </c:pt>
                <c:pt idx="90">
                  <c:v>29.550409929898997</c:v>
                </c:pt>
                <c:pt idx="91">
                  <c:v>28.767636706898326</c:v>
                </c:pt>
                <c:pt idx="92">
                  <c:v>27.98486348389541</c:v>
                </c:pt>
                <c:pt idx="93">
                  <c:v>27.202090260894739</c:v>
                </c:pt>
                <c:pt idx="94">
                  <c:v>26.419317037894068</c:v>
                </c:pt>
                <c:pt idx="95">
                  <c:v>25.636543814893287</c:v>
                </c:pt>
                <c:pt idx="96">
                  <c:v>24.853770591892619</c:v>
                </c:pt>
                <c:pt idx="97">
                  <c:v>24.070997368889692</c:v>
                </c:pt>
                <c:pt idx="98">
                  <c:v>23.288224145889032</c:v>
                </c:pt>
                <c:pt idx="99">
                  <c:v>22.505450922888237</c:v>
                </c:pt>
              </c:numCache>
            </c:numRef>
          </c:xVal>
          <c:yVal>
            <c:numRef>
              <c:f>Sheet1!$AE$2:$AE$101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448-424F-BB83-CB92BF8D3CD7}"/>
            </c:ext>
          </c:extLst>
        </c:ser>
        <c:ser>
          <c:idx val="8"/>
          <c:order val="8"/>
          <c:tx>
            <c:v>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Sheet1!$AK$2:$AK$101</c:f>
              <c:numCache>
                <c:formatCode>General</c:formatCode>
                <c:ptCount val="100"/>
                <c:pt idx="0">
                  <c:v>22.521942208769957</c:v>
                </c:pt>
                <c:pt idx="1">
                  <c:v>23.304548853125478</c:v>
                </c:pt>
                <c:pt idx="2">
                  <c:v>24.087155497480879</c:v>
                </c:pt>
                <c:pt idx="3">
                  <c:v>24.869762141838407</c:v>
                </c:pt>
                <c:pt idx="4">
                  <c:v>25.652368786193925</c:v>
                </c:pt>
                <c:pt idx="5">
                  <c:v>26.434975430549322</c:v>
                </c:pt>
                <c:pt idx="6">
                  <c:v>27.217582074904843</c:v>
                </c:pt>
                <c:pt idx="7">
                  <c:v>28.000188719260244</c:v>
                </c:pt>
                <c:pt idx="8">
                  <c:v>28.782795363617897</c:v>
                </c:pt>
                <c:pt idx="9">
                  <c:v>29.56540200797329</c:v>
                </c:pt>
                <c:pt idx="10">
                  <c:v>30.348008652328691</c:v>
                </c:pt>
                <c:pt idx="11">
                  <c:v>31.130615296684212</c:v>
                </c:pt>
                <c:pt idx="12">
                  <c:v>31.913221941039605</c:v>
                </c:pt>
                <c:pt idx="13">
                  <c:v>32.695828585397265</c:v>
                </c:pt>
                <c:pt idx="14">
                  <c:v>33.478435229752655</c:v>
                </c:pt>
                <c:pt idx="15">
                  <c:v>34.261041874108052</c:v>
                </c:pt>
                <c:pt idx="16">
                  <c:v>35.043648518463577</c:v>
                </c:pt>
                <c:pt idx="17">
                  <c:v>35.826255162818974</c:v>
                </c:pt>
                <c:pt idx="18">
                  <c:v>36.608861807174499</c:v>
                </c:pt>
                <c:pt idx="19">
                  <c:v>37.39146845153202</c:v>
                </c:pt>
                <c:pt idx="20">
                  <c:v>38.174075095887552</c:v>
                </c:pt>
                <c:pt idx="21">
                  <c:v>38.956681740242935</c:v>
                </c:pt>
                <c:pt idx="22">
                  <c:v>39.739288384598339</c:v>
                </c:pt>
                <c:pt idx="23">
                  <c:v>40.521895028953864</c:v>
                </c:pt>
                <c:pt idx="24">
                  <c:v>41.304501673311385</c:v>
                </c:pt>
                <c:pt idx="25">
                  <c:v>42.08710831766691</c:v>
                </c:pt>
                <c:pt idx="26">
                  <c:v>42.869714962022307</c:v>
                </c:pt>
                <c:pt idx="27">
                  <c:v>43.652321606377704</c:v>
                </c:pt>
                <c:pt idx="28">
                  <c:v>44.434928250733222</c:v>
                </c:pt>
                <c:pt idx="29">
                  <c:v>45.217534895090758</c:v>
                </c:pt>
                <c:pt idx="30">
                  <c:v>46.000141539446275</c:v>
                </c:pt>
                <c:pt idx="31">
                  <c:v>46.782748183801672</c:v>
                </c:pt>
                <c:pt idx="32">
                  <c:v>47.565354828157197</c:v>
                </c:pt>
                <c:pt idx="33">
                  <c:v>48.347961472512594</c:v>
                </c:pt>
                <c:pt idx="34">
                  <c:v>49.130568116870244</c:v>
                </c:pt>
                <c:pt idx="35">
                  <c:v>49.91317476122564</c:v>
                </c:pt>
                <c:pt idx="36">
                  <c:v>50.695781405581045</c:v>
                </c:pt>
                <c:pt idx="37">
                  <c:v>51.478388049936555</c:v>
                </c:pt>
                <c:pt idx="38">
                  <c:v>52.260994694291959</c:v>
                </c:pt>
                <c:pt idx="39">
                  <c:v>53.043601338649616</c:v>
                </c:pt>
                <c:pt idx="40">
                  <c:v>53.826207983005006</c:v>
                </c:pt>
                <c:pt idx="41">
                  <c:v>54.608814627360402</c:v>
                </c:pt>
                <c:pt idx="42">
                  <c:v>55.391421271715927</c:v>
                </c:pt>
                <c:pt idx="43">
                  <c:v>56.174027916071324</c:v>
                </c:pt>
                <c:pt idx="44">
                  <c:v>56.956634560426842</c:v>
                </c:pt>
                <c:pt idx="45">
                  <c:v>57.739241204784378</c:v>
                </c:pt>
                <c:pt idx="46">
                  <c:v>58.521847849139895</c:v>
                </c:pt>
                <c:pt idx="47">
                  <c:v>59.304454493495292</c:v>
                </c:pt>
                <c:pt idx="48">
                  <c:v>60.087061137850696</c:v>
                </c:pt>
                <c:pt idx="49">
                  <c:v>60.869667782206214</c:v>
                </c:pt>
                <c:pt idx="50">
                  <c:v>61.652274426563736</c:v>
                </c:pt>
                <c:pt idx="51">
                  <c:v>62.434881070919268</c:v>
                </c:pt>
                <c:pt idx="52">
                  <c:v>63.217487715274665</c:v>
                </c:pt>
                <c:pt idx="53">
                  <c:v>64.000094359630054</c:v>
                </c:pt>
                <c:pt idx="54">
                  <c:v>64.782701003985579</c:v>
                </c:pt>
                <c:pt idx="55">
                  <c:v>65.565307648343094</c:v>
                </c:pt>
                <c:pt idx="56">
                  <c:v>66.347914292698633</c:v>
                </c:pt>
                <c:pt idx="57">
                  <c:v>67.13052093705403</c:v>
                </c:pt>
                <c:pt idx="58">
                  <c:v>67.913127581409555</c:v>
                </c:pt>
                <c:pt idx="59">
                  <c:v>68.695734225764951</c:v>
                </c:pt>
                <c:pt idx="60">
                  <c:v>69.478340870122608</c:v>
                </c:pt>
                <c:pt idx="61">
                  <c:v>70.260947514477991</c:v>
                </c:pt>
                <c:pt idx="62">
                  <c:v>71.043554158833388</c:v>
                </c:pt>
                <c:pt idx="63">
                  <c:v>71.826160803188912</c:v>
                </c:pt>
                <c:pt idx="64">
                  <c:v>72.608767447544295</c:v>
                </c:pt>
                <c:pt idx="65">
                  <c:v>73.391374091901966</c:v>
                </c:pt>
                <c:pt idx="66">
                  <c:v>74.173980736257363</c:v>
                </c:pt>
                <c:pt idx="67">
                  <c:v>74.95658738061276</c:v>
                </c:pt>
                <c:pt idx="68">
                  <c:v>75.73919402496827</c:v>
                </c:pt>
                <c:pt idx="69">
                  <c:v>76.521800669323667</c:v>
                </c:pt>
                <c:pt idx="70">
                  <c:v>77.304407313679206</c:v>
                </c:pt>
                <c:pt idx="71">
                  <c:v>78.087013958036735</c:v>
                </c:pt>
                <c:pt idx="72">
                  <c:v>78.869620602392246</c:v>
                </c:pt>
                <c:pt idx="73">
                  <c:v>79.652227246747643</c:v>
                </c:pt>
                <c:pt idx="74">
                  <c:v>80.434833891103054</c:v>
                </c:pt>
                <c:pt idx="75">
                  <c:v>81.217440535458564</c:v>
                </c:pt>
                <c:pt idx="76">
                  <c:v>82.000047179816079</c:v>
                </c:pt>
                <c:pt idx="77">
                  <c:v>82.782653824171618</c:v>
                </c:pt>
                <c:pt idx="78">
                  <c:v>83.565260468527001</c:v>
                </c:pt>
                <c:pt idx="79">
                  <c:v>84.347867112882398</c:v>
                </c:pt>
                <c:pt idx="80">
                  <c:v>85.130473757237937</c:v>
                </c:pt>
                <c:pt idx="81">
                  <c:v>85.913080401595451</c:v>
                </c:pt>
                <c:pt idx="82">
                  <c:v>86.695687045950976</c:v>
                </c:pt>
                <c:pt idx="83">
                  <c:v>87.478293690306373</c:v>
                </c:pt>
                <c:pt idx="84">
                  <c:v>88.260900334661898</c:v>
                </c:pt>
                <c:pt idx="85">
                  <c:v>89.043506979017295</c:v>
                </c:pt>
                <c:pt idx="86">
                  <c:v>89.826113623374951</c:v>
                </c:pt>
                <c:pt idx="87">
                  <c:v>90.608720267730334</c:v>
                </c:pt>
                <c:pt idx="88">
                  <c:v>91.391326912085731</c:v>
                </c:pt>
                <c:pt idx="89">
                  <c:v>92.17393355644127</c:v>
                </c:pt>
                <c:pt idx="90">
                  <c:v>92.956540200796653</c:v>
                </c:pt>
                <c:pt idx="91">
                  <c:v>93.739146845154309</c:v>
                </c:pt>
                <c:pt idx="92">
                  <c:v>94.521753489509706</c:v>
                </c:pt>
                <c:pt idx="93">
                  <c:v>95.304360133865089</c:v>
                </c:pt>
                <c:pt idx="94">
                  <c:v>96.086966778220628</c:v>
                </c:pt>
                <c:pt idx="95">
                  <c:v>96.869573422576025</c:v>
                </c:pt>
                <c:pt idx="96">
                  <c:v>97.65218006693155</c:v>
                </c:pt>
                <c:pt idx="97">
                  <c:v>98.434786711289064</c:v>
                </c:pt>
                <c:pt idx="98">
                  <c:v>99.217393355644603</c:v>
                </c:pt>
                <c:pt idx="99">
                  <c:v>100</c:v>
                </c:pt>
              </c:numCache>
            </c:numRef>
          </c:xVal>
          <c:yVal>
            <c:numRef>
              <c:f>Sheet1!$AI$2:$AI$101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448-424F-BB83-CB92BF8D3CD7}"/>
            </c:ext>
          </c:extLst>
        </c:ser>
        <c:ser>
          <c:idx val="9"/>
          <c:order val="9"/>
          <c:tx>
            <c:v>Décharge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Sheet1!$AO$2:$AO$101</c:f>
              <c:numCache>
                <c:formatCode>General</c:formatCode>
                <c:ptCount val="100"/>
                <c:pt idx="0">
                  <c:v>100</c:v>
                </c:pt>
                <c:pt idx="1">
                  <c:v>99.217393355644475</c:v>
                </c:pt>
                <c:pt idx="2">
                  <c:v>98.434786711289092</c:v>
                </c:pt>
                <c:pt idx="3">
                  <c:v>97.65218006693155</c:v>
                </c:pt>
                <c:pt idx="4">
                  <c:v>96.869573422576025</c:v>
                </c:pt>
                <c:pt idx="5">
                  <c:v>96.086966778220642</c:v>
                </c:pt>
                <c:pt idx="6">
                  <c:v>95.304360133865117</c:v>
                </c:pt>
                <c:pt idx="7">
                  <c:v>94.521753489509706</c:v>
                </c:pt>
                <c:pt idx="8">
                  <c:v>93.739146845152064</c:v>
                </c:pt>
                <c:pt idx="9">
                  <c:v>92.956540200796667</c:v>
                </c:pt>
                <c:pt idx="10">
                  <c:v>92.17393355644127</c:v>
                </c:pt>
                <c:pt idx="11">
                  <c:v>91.391326912085731</c:v>
                </c:pt>
                <c:pt idx="12">
                  <c:v>90.608720267730362</c:v>
                </c:pt>
                <c:pt idx="13">
                  <c:v>89.826113623372692</c:v>
                </c:pt>
                <c:pt idx="14">
                  <c:v>89.043506979017309</c:v>
                </c:pt>
                <c:pt idx="15">
                  <c:v>88.260900334661912</c:v>
                </c:pt>
                <c:pt idx="16">
                  <c:v>87.478293690306373</c:v>
                </c:pt>
                <c:pt idx="17">
                  <c:v>86.695687045950976</c:v>
                </c:pt>
                <c:pt idx="18">
                  <c:v>85.913080401595465</c:v>
                </c:pt>
                <c:pt idx="19">
                  <c:v>85.130473757237937</c:v>
                </c:pt>
                <c:pt idx="20">
                  <c:v>84.347867112882398</c:v>
                </c:pt>
                <c:pt idx="21">
                  <c:v>83.565260468527029</c:v>
                </c:pt>
                <c:pt idx="22">
                  <c:v>82.782653824171618</c:v>
                </c:pt>
                <c:pt idx="23">
                  <c:v>82.000047179816093</c:v>
                </c:pt>
                <c:pt idx="24">
                  <c:v>81.217440535458579</c:v>
                </c:pt>
                <c:pt idx="25">
                  <c:v>80.434833891103054</c:v>
                </c:pt>
                <c:pt idx="26">
                  <c:v>79.652227246747643</c:v>
                </c:pt>
                <c:pt idx="27">
                  <c:v>78.869620602392132</c:v>
                </c:pt>
                <c:pt idx="28">
                  <c:v>78.087013958036735</c:v>
                </c:pt>
                <c:pt idx="29">
                  <c:v>77.304407313679206</c:v>
                </c:pt>
                <c:pt idx="30">
                  <c:v>76.521800669323667</c:v>
                </c:pt>
                <c:pt idx="31">
                  <c:v>75.739194024968285</c:v>
                </c:pt>
                <c:pt idx="32">
                  <c:v>74.95658738061276</c:v>
                </c:pt>
                <c:pt idx="33">
                  <c:v>74.173980736257363</c:v>
                </c:pt>
                <c:pt idx="34">
                  <c:v>73.391374091899721</c:v>
                </c:pt>
                <c:pt idx="35">
                  <c:v>72.608767447544309</c:v>
                </c:pt>
                <c:pt idx="36">
                  <c:v>71.826160803188927</c:v>
                </c:pt>
                <c:pt idx="37">
                  <c:v>71.043554158833402</c:v>
                </c:pt>
                <c:pt idx="38">
                  <c:v>70.260947514478005</c:v>
                </c:pt>
                <c:pt idx="39">
                  <c:v>69.478340870120363</c:v>
                </c:pt>
                <c:pt idx="40">
                  <c:v>68.695734225764951</c:v>
                </c:pt>
                <c:pt idx="41">
                  <c:v>67.913127581409555</c:v>
                </c:pt>
                <c:pt idx="42">
                  <c:v>67.130520937054044</c:v>
                </c:pt>
                <c:pt idx="43">
                  <c:v>66.347914292698647</c:v>
                </c:pt>
                <c:pt idx="44">
                  <c:v>65.565307648343122</c:v>
                </c:pt>
                <c:pt idx="45">
                  <c:v>64.782701003985579</c:v>
                </c:pt>
                <c:pt idx="46">
                  <c:v>64.000094359630069</c:v>
                </c:pt>
                <c:pt idx="47">
                  <c:v>63.217487715274665</c:v>
                </c:pt>
                <c:pt idx="48">
                  <c:v>62.434881070919268</c:v>
                </c:pt>
                <c:pt idx="49">
                  <c:v>61.65227442656375</c:v>
                </c:pt>
                <c:pt idx="50">
                  <c:v>60.869667782206214</c:v>
                </c:pt>
                <c:pt idx="51">
                  <c:v>60.087061137850696</c:v>
                </c:pt>
                <c:pt idx="52">
                  <c:v>59.304454493495292</c:v>
                </c:pt>
                <c:pt idx="53">
                  <c:v>58.521847849139789</c:v>
                </c:pt>
                <c:pt idx="54">
                  <c:v>57.739241204784378</c:v>
                </c:pt>
                <c:pt idx="55">
                  <c:v>56.956634560426856</c:v>
                </c:pt>
                <c:pt idx="56">
                  <c:v>56.174027916071331</c:v>
                </c:pt>
                <c:pt idx="57">
                  <c:v>55.391421271715934</c:v>
                </c:pt>
                <c:pt idx="58">
                  <c:v>54.608814627360417</c:v>
                </c:pt>
                <c:pt idx="59">
                  <c:v>53.826207983005013</c:v>
                </c:pt>
                <c:pt idx="60">
                  <c:v>53.043601338647363</c:v>
                </c:pt>
                <c:pt idx="61">
                  <c:v>52.260994694291959</c:v>
                </c:pt>
                <c:pt idx="62">
                  <c:v>51.478388049936576</c:v>
                </c:pt>
                <c:pt idx="63">
                  <c:v>50.695781405581045</c:v>
                </c:pt>
                <c:pt idx="64">
                  <c:v>49.913174761225655</c:v>
                </c:pt>
                <c:pt idx="65">
                  <c:v>49.130568116867998</c:v>
                </c:pt>
                <c:pt idx="66">
                  <c:v>48.347961472512594</c:v>
                </c:pt>
                <c:pt idx="67">
                  <c:v>47.565354828157204</c:v>
                </c:pt>
                <c:pt idx="68">
                  <c:v>46.782748183801672</c:v>
                </c:pt>
                <c:pt idx="69">
                  <c:v>46.000141539446282</c:v>
                </c:pt>
                <c:pt idx="70">
                  <c:v>45.217534895090758</c:v>
                </c:pt>
                <c:pt idx="71">
                  <c:v>44.434928250733229</c:v>
                </c:pt>
                <c:pt idx="72">
                  <c:v>43.652321606377711</c:v>
                </c:pt>
                <c:pt idx="73">
                  <c:v>42.869714962022307</c:v>
                </c:pt>
                <c:pt idx="74">
                  <c:v>42.087108317666917</c:v>
                </c:pt>
                <c:pt idx="75">
                  <c:v>41.304501673311393</c:v>
                </c:pt>
                <c:pt idx="76">
                  <c:v>40.521895028953871</c:v>
                </c:pt>
                <c:pt idx="77">
                  <c:v>39.739288384598346</c:v>
                </c:pt>
                <c:pt idx="78">
                  <c:v>38.956681740242949</c:v>
                </c:pt>
                <c:pt idx="79">
                  <c:v>38.174075095887424</c:v>
                </c:pt>
                <c:pt idx="80">
                  <c:v>37.39146845153202</c:v>
                </c:pt>
                <c:pt idx="81">
                  <c:v>36.608861807174506</c:v>
                </c:pt>
                <c:pt idx="82">
                  <c:v>35.826255162818974</c:v>
                </c:pt>
                <c:pt idx="83">
                  <c:v>35.043648518463577</c:v>
                </c:pt>
                <c:pt idx="84">
                  <c:v>34.261041874108066</c:v>
                </c:pt>
                <c:pt idx="85">
                  <c:v>33.478435229752662</c:v>
                </c:pt>
                <c:pt idx="86">
                  <c:v>32.695828585395006</c:v>
                </c:pt>
                <c:pt idx="87">
                  <c:v>31.913221941039616</c:v>
                </c:pt>
                <c:pt idx="88">
                  <c:v>31.130615296684216</c:v>
                </c:pt>
                <c:pt idx="89">
                  <c:v>30.348008652328691</c:v>
                </c:pt>
                <c:pt idx="90">
                  <c:v>29.565402007973301</c:v>
                </c:pt>
                <c:pt idx="91">
                  <c:v>28.78279536361778</c:v>
                </c:pt>
                <c:pt idx="92">
                  <c:v>28.000188719260244</c:v>
                </c:pt>
                <c:pt idx="93">
                  <c:v>27.217582074904854</c:v>
                </c:pt>
                <c:pt idx="94">
                  <c:v>26.434975430549329</c:v>
                </c:pt>
                <c:pt idx="95">
                  <c:v>25.652368786193929</c:v>
                </c:pt>
                <c:pt idx="96">
                  <c:v>24.869762141838407</c:v>
                </c:pt>
                <c:pt idx="97">
                  <c:v>24.087155497480882</c:v>
                </c:pt>
                <c:pt idx="98">
                  <c:v>23.304548853125358</c:v>
                </c:pt>
                <c:pt idx="99">
                  <c:v>22.521942208769957</c:v>
                </c:pt>
              </c:numCache>
            </c:numRef>
          </c:xVal>
          <c:yVal>
            <c:numRef>
              <c:f>Sheet1!$AM$2:$AM$101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448-424F-BB83-CB92BF8D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250783"/>
        <c:axId val="983232479"/>
      </c:scatterChart>
      <c:valAx>
        <c:axId val="98325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Etat de charge (%)</a:t>
                </a:r>
              </a:p>
            </c:rich>
          </c:tx>
          <c:layout>
            <c:manualLayout>
              <c:xMode val="edge"/>
              <c:yMode val="edge"/>
              <c:x val="0.40455957251735741"/>
              <c:y val="0.92155228949294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3232479"/>
        <c:crosses val="autoZero"/>
        <c:crossBetween val="midCat"/>
      </c:valAx>
      <c:valAx>
        <c:axId val="983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325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214314</xdr:colOff>
      <xdr:row>102</xdr:row>
      <xdr:rowOff>108744</xdr:rowOff>
    </xdr:from>
    <xdr:to>
      <xdr:col>8</xdr:col>
      <xdr:colOff>436563</xdr:colOff>
      <xdr:row>127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484497-9BA2-4A11-A646-54B5BDB91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547690</xdr:colOff>
      <xdr:row>102</xdr:row>
      <xdr:rowOff>124619</xdr:rowOff>
    </xdr:from>
    <xdr:to>
      <xdr:col>17</xdr:col>
      <xdr:colOff>15876</xdr:colOff>
      <xdr:row>127</xdr:row>
      <xdr:rowOff>79374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C9B374-96B4-45FA-90FC-54FAEE003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222250</xdr:colOff>
      <xdr:row>129</xdr:row>
      <xdr:rowOff>13493</xdr:rowOff>
    </xdr:from>
    <xdr:to>
      <xdr:col>8</xdr:col>
      <xdr:colOff>430893</xdr:colOff>
      <xdr:row>157</xdr:row>
      <xdr:rowOff>90715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A3AA636-6757-425D-8948-5FC24E631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tabSelected="1" zoomScale="82" zoomScaleNormal="120" workbookViewId="0">
      <selection activeCell="D2" sqref="D2"/>
    </sheetView>
  </sheetViews>
  <sheetFormatPr baseColWidth="10" defaultColWidth="11.5" defaultRowHeight="13" x14ac:dyDescent="0.15"/>
  <cols>
    <col min="4" max="4" width="17.83203125" bestFit="1" customWidth="1"/>
  </cols>
  <sheetData>
    <row r="1" spans="1:41" x14ac:dyDescent="0.15">
      <c r="B1" s="1" t="s">
        <v>0</v>
      </c>
      <c r="C1" s="1" t="s">
        <v>1</v>
      </c>
      <c r="D1" s="1" t="s">
        <v>39</v>
      </c>
      <c r="E1" s="1" t="s">
        <v>29</v>
      </c>
      <c r="F1" s="1" t="s">
        <v>2</v>
      </c>
      <c r="G1" s="1" t="s">
        <v>3</v>
      </c>
      <c r="H1" s="1" t="s">
        <v>20</v>
      </c>
      <c r="I1" s="1" t="s">
        <v>30</v>
      </c>
      <c r="J1" s="1" t="s">
        <v>4</v>
      </c>
      <c r="K1" s="1" t="s">
        <v>5</v>
      </c>
      <c r="L1" s="1" t="s">
        <v>21</v>
      </c>
      <c r="M1" s="1" t="s">
        <v>31</v>
      </c>
      <c r="N1" s="1" t="s">
        <v>6</v>
      </c>
      <c r="O1" s="1" t="s">
        <v>7</v>
      </c>
      <c r="P1" s="1" t="s">
        <v>22</v>
      </c>
      <c r="Q1" s="1" t="s">
        <v>32</v>
      </c>
      <c r="R1" s="1" t="s">
        <v>8</v>
      </c>
      <c r="S1" s="1" t="s">
        <v>9</v>
      </c>
      <c r="T1" s="1" t="s">
        <v>23</v>
      </c>
      <c r="U1" s="1" t="s">
        <v>33</v>
      </c>
      <c r="V1" s="1" t="s">
        <v>10</v>
      </c>
      <c r="W1" s="1" t="s">
        <v>11</v>
      </c>
      <c r="X1" s="1" t="s">
        <v>24</v>
      </c>
      <c r="Y1" s="1" t="s">
        <v>34</v>
      </c>
      <c r="Z1" s="1" t="s">
        <v>12</v>
      </c>
      <c r="AA1" s="1" t="s">
        <v>13</v>
      </c>
      <c r="AB1" s="1" t="s">
        <v>25</v>
      </c>
      <c r="AC1" s="1" t="s">
        <v>35</v>
      </c>
      <c r="AD1" s="1" t="s">
        <v>14</v>
      </c>
      <c r="AE1" s="1" t="s">
        <v>15</v>
      </c>
      <c r="AF1" s="1" t="s">
        <v>26</v>
      </c>
      <c r="AG1" s="1" t="s">
        <v>36</v>
      </c>
      <c r="AH1" s="1" t="s">
        <v>16</v>
      </c>
      <c r="AI1" s="1" t="s">
        <v>17</v>
      </c>
      <c r="AJ1" s="1" t="s">
        <v>27</v>
      </c>
      <c r="AK1" s="1" t="s">
        <v>37</v>
      </c>
      <c r="AL1" s="1" t="s">
        <v>18</v>
      </c>
      <c r="AM1" s="1" t="s">
        <v>19</v>
      </c>
      <c r="AN1" s="1" t="s">
        <v>28</v>
      </c>
      <c r="AO1" s="1" t="s">
        <v>38</v>
      </c>
    </row>
    <row r="2" spans="1:41" x14ac:dyDescent="0.15">
      <c r="A2" s="1">
        <v>0</v>
      </c>
      <c r="B2">
        <v>20.2664669488321</v>
      </c>
      <c r="C2">
        <v>3.04962158203125</v>
      </c>
      <c r="D2">
        <f>$C$2+1*((B2-$B$2)/3600)</f>
        <v>3.04962158203125</v>
      </c>
      <c r="E2">
        <f>(D2/$D$101)*100</f>
        <v>23.369922914724579</v>
      </c>
      <c r="F2">
        <v>36023.961866048201</v>
      </c>
      <c r="G2">
        <v>3.20648193359375</v>
      </c>
      <c r="H2">
        <f>$D$101-1*((F2-$F$2)/3600)</f>
        <v>13.049343779006602</v>
      </c>
      <c r="I2">
        <f>(H2/$H$2)*100</f>
        <v>100</v>
      </c>
      <c r="J2">
        <v>72028.995598144305</v>
      </c>
      <c r="K2">
        <v>2.89794921875</v>
      </c>
      <c r="L2">
        <f>$K$2+1*((J2-$J$2)/3600)</f>
        <v>2.89794921875</v>
      </c>
      <c r="M2">
        <f>(L2/$L$101)*100</f>
        <v>22.468778474358398</v>
      </c>
      <c r="N2">
        <v>108032.376905244</v>
      </c>
      <c r="O2">
        <v>3.2061767578125</v>
      </c>
      <c r="P2">
        <f>$L$101-1*((N2-$N$2)/3600)</f>
        <v>12.897671415725469</v>
      </c>
      <c r="Q2">
        <f>(P2/$P$2)*100</f>
        <v>100</v>
      </c>
      <c r="R2">
        <v>144037.75662433999</v>
      </c>
      <c r="S2">
        <v>2.9010009765625</v>
      </c>
      <c r="T2">
        <f>$S$2+1*((R2-$R$2)/3600)</f>
        <v>2.9010009765625</v>
      </c>
      <c r="U2">
        <f>(T2/$T$101)*100</f>
        <v>22.48711903618776</v>
      </c>
      <c r="V2">
        <v>180041.14793244001</v>
      </c>
      <c r="W2">
        <v>3.20709228515625</v>
      </c>
      <c r="X2">
        <f>$T$101-1*((V2-$V$2)/3600)</f>
        <v>12.900723173537781</v>
      </c>
      <c r="Y2">
        <f>(X2/$X$2)*100</f>
        <v>100</v>
      </c>
      <c r="Z2">
        <v>216046.54665853499</v>
      </c>
      <c r="AA2">
        <v>2.904052734375</v>
      </c>
      <c r="AB2">
        <f>$AA$2+1*((Z2-$Z$2)/3600)</f>
        <v>2.904052734375</v>
      </c>
      <c r="AC2">
        <f>(AB2/$AB$101)*100</f>
        <v>22.505450922888294</v>
      </c>
      <c r="AD2">
        <v>252049.97396763499</v>
      </c>
      <c r="AE2">
        <v>3.21014404296875</v>
      </c>
      <c r="AF2">
        <f>$AB$101-1*((AD2-$AD$2)/3600)</f>
        <v>12.903774931350281</v>
      </c>
      <c r="AG2">
        <f>(AF2/$AF$2)*100</f>
        <v>100</v>
      </c>
      <c r="AH2">
        <v>288055.55969672999</v>
      </c>
      <c r="AI2">
        <v>2.90679931640625</v>
      </c>
      <c r="AJ2">
        <f>$AI$2+1*((AH2-$AH$2)/3600)</f>
        <v>2.90679931640625</v>
      </c>
      <c r="AK2">
        <f>(AJ2/$AJ$101)*100</f>
        <v>22.521942208769957</v>
      </c>
      <c r="AL2">
        <v>324059.01900582999</v>
      </c>
      <c r="AM2">
        <v>3.21624755859375</v>
      </c>
      <c r="AN2">
        <f>$AJ$101-1*((AL2-$AL$2)/3600)</f>
        <v>12.906521513381531</v>
      </c>
      <c r="AO2">
        <f>(AN2/$AN$2)*100</f>
        <v>100</v>
      </c>
    </row>
    <row r="3" spans="1:41" x14ac:dyDescent="0.15">
      <c r="A3" s="1">
        <v>1</v>
      </c>
      <c r="B3">
        <v>383.89272865702702</v>
      </c>
      <c r="C3">
        <v>3.1451416015625</v>
      </c>
      <c r="D3">
        <f t="shared" ref="D3:D66" si="0">$C$2+1*((B3-$B$2)/3600)</f>
        <v>3.1506288769501931</v>
      </c>
      <c r="E3">
        <f t="shared" ref="E3:E66" si="1">(D3/$D$101)*100</f>
        <v>24.143964097404126</v>
      </c>
      <c r="F3">
        <v>36387.588127756397</v>
      </c>
      <c r="G3">
        <v>3.14178466796875</v>
      </c>
      <c r="H3">
        <f t="shared" ref="H3:H66" si="2">$D$101-1*((F3-$F$2)/3600)</f>
        <v>12.948336484087658</v>
      </c>
      <c r="I3">
        <f t="shared" ref="I3:I66" si="3">(H3/$H$2)*100</f>
        <v>99.225958817320446</v>
      </c>
      <c r="J3">
        <v>72392.621859852501</v>
      </c>
      <c r="K3">
        <v>2.9701988143150202</v>
      </c>
      <c r="L3">
        <f t="shared" ref="L3:L66" si="4">$K$2+1*((J3-$J$2)/3600)</f>
        <v>2.9989565136689431</v>
      </c>
      <c r="M3">
        <f t="shared" ref="M3:M66" si="5">(L3/$L$101)*100</f>
        <v>23.251922126132545</v>
      </c>
      <c r="N3">
        <v>108396.003166952</v>
      </c>
      <c r="O3">
        <v>3.14178466796875</v>
      </c>
      <c r="P3">
        <f t="shared" ref="P3:P66" si="6">$L$101-1*((N3-$N$2)/3600)</f>
        <v>12.796664120806582</v>
      </c>
      <c r="Q3">
        <f t="shared" ref="Q3:Q66" si="7">(P3/$P$2)*100</f>
        <v>99.216856348226287</v>
      </c>
      <c r="R3">
        <v>144401.382886048</v>
      </c>
      <c r="S3">
        <v>2.9752727470012101</v>
      </c>
      <c r="T3">
        <f t="shared" ref="T3:T66" si="8">$S$2+1*((R3-$R$2)/3600)</f>
        <v>3.0020082714813907</v>
      </c>
      <c r="U3">
        <f t="shared" ref="U3:U66" si="9">(T3/$T$101)*100</f>
        <v>23.270077429761223</v>
      </c>
      <c r="V3">
        <v>180404.77419414799</v>
      </c>
      <c r="W3">
        <v>3.1415935477824601</v>
      </c>
      <c r="X3">
        <f t="shared" ref="X3:X66" si="10">$T$101-1*((V3-$V$2)/3600)</f>
        <v>12.799715878618898</v>
      </c>
      <c r="Y3">
        <f t="shared" ref="Y3:Y66" si="11">(X3/$X$2)*100</f>
        <v>99.217041606426591</v>
      </c>
      <c r="Z3">
        <v>216410.172920243</v>
      </c>
      <c r="AA3">
        <v>2.9822917899699601</v>
      </c>
      <c r="AB3">
        <f t="shared" ref="AB3:AB66" si="12">$AA$2+1*((Z3-$Z$2)/3600)</f>
        <v>3.0050600292938907</v>
      </c>
      <c r="AC3">
        <f t="shared" ref="AC3:AC66" si="13">(AB3/$AB$101)*100</f>
        <v>23.288224145889021</v>
      </c>
      <c r="AD3">
        <v>252413.60022934299</v>
      </c>
      <c r="AE3">
        <v>3.14300537109375</v>
      </c>
      <c r="AF3">
        <f t="shared" ref="AF3:AF66" si="14">$AB$101-1*((AD3-$AD$2)/3600)</f>
        <v>12.80276763643139</v>
      </c>
      <c r="AG3">
        <f t="shared" ref="AG3:AG66" si="15">(AF3/$AF$2)*100</f>
        <v>99.217226776999283</v>
      </c>
      <c r="AH3">
        <v>288419.18595843803</v>
      </c>
      <c r="AI3">
        <v>2.98736572265625</v>
      </c>
      <c r="AJ3">
        <f t="shared" ref="AJ3:AJ66" si="16">$AI$2+1*((AH3-$AH$2)/3600)</f>
        <v>3.0078066113251487</v>
      </c>
      <c r="AK3">
        <f t="shared" ref="AK3:AK66" si="17">(AJ3/$AJ$101)*100</f>
        <v>23.304548853125478</v>
      </c>
      <c r="AL3">
        <v>324422.64526753803</v>
      </c>
      <c r="AM3">
        <v>3.14605712890625</v>
      </c>
      <c r="AN3">
        <f t="shared" ref="AN3:AN66" si="18">$AJ$101-1*((AL3-$AL$2)/3600)</f>
        <v>12.805514218462632</v>
      </c>
      <c r="AO3">
        <f t="shared" ref="AO3:AO66" si="19">(AN3/$AN$2)*100</f>
        <v>99.217393355644475</v>
      </c>
    </row>
    <row r="4" spans="1:41" x14ac:dyDescent="0.15">
      <c r="A4" s="1">
        <v>2</v>
      </c>
      <c r="B4">
        <v>747.51899036522104</v>
      </c>
      <c r="C4">
        <v>3.15406876380997</v>
      </c>
      <c r="D4">
        <f t="shared" si="0"/>
        <v>3.2516361718691358</v>
      </c>
      <c r="E4">
        <f t="shared" si="1"/>
        <v>24.918005280083676</v>
      </c>
      <c r="F4">
        <v>36751.2143894646</v>
      </c>
      <c r="G4">
        <v>3.11332625572128</v>
      </c>
      <c r="H4">
        <f t="shared" si="2"/>
        <v>12.847329189168713</v>
      </c>
      <c r="I4">
        <f t="shared" si="3"/>
        <v>98.451917634640878</v>
      </c>
      <c r="J4">
        <v>72756.248121560697</v>
      </c>
      <c r="K4">
        <v>3.00201416015625</v>
      </c>
      <c r="L4">
        <f t="shared" si="4"/>
        <v>3.0999638085878867</v>
      </c>
      <c r="M4">
        <f t="shared" si="5"/>
        <v>24.035065777906699</v>
      </c>
      <c r="N4">
        <v>108759.62942866</v>
      </c>
      <c r="O4">
        <v>3.11370849609375</v>
      </c>
      <c r="P4">
        <f t="shared" si="6"/>
        <v>12.695656825887692</v>
      </c>
      <c r="Q4">
        <f t="shared" si="7"/>
        <v>98.433712696452545</v>
      </c>
      <c r="R4">
        <v>144765.00914775601</v>
      </c>
      <c r="S4">
        <v>3.0065147322836698</v>
      </c>
      <c r="T4">
        <f t="shared" si="8"/>
        <v>3.1030155664002814</v>
      </c>
      <c r="U4">
        <f t="shared" si="9"/>
        <v>24.053035823334685</v>
      </c>
      <c r="V4">
        <v>180768.400455856</v>
      </c>
      <c r="W4">
        <v>3.1134033203125</v>
      </c>
      <c r="X4">
        <f t="shared" si="10"/>
        <v>12.698708583700007</v>
      </c>
      <c r="Y4">
        <f t="shared" si="11"/>
        <v>98.434083212853139</v>
      </c>
      <c r="Z4">
        <v>216773.79918195101</v>
      </c>
      <c r="AA4">
        <v>3.0136077572596598</v>
      </c>
      <c r="AB4">
        <f t="shared" si="12"/>
        <v>3.1060673242127814</v>
      </c>
      <c r="AC4">
        <f t="shared" si="13"/>
        <v>24.070997368889753</v>
      </c>
      <c r="AD4">
        <v>252777.226491051</v>
      </c>
      <c r="AE4">
        <v>3.11370849609375</v>
      </c>
      <c r="AF4">
        <f t="shared" si="14"/>
        <v>12.7017603415125</v>
      </c>
      <c r="AG4">
        <f t="shared" si="15"/>
        <v>98.434453553998551</v>
      </c>
      <c r="AH4">
        <v>288782.81222014601</v>
      </c>
      <c r="AI4">
        <v>3.0181884765625</v>
      </c>
      <c r="AJ4">
        <f t="shared" si="16"/>
        <v>3.1088139062440314</v>
      </c>
      <c r="AK4">
        <f t="shared" si="17"/>
        <v>24.087155497480879</v>
      </c>
      <c r="AL4">
        <v>324786.27152924601</v>
      </c>
      <c r="AM4">
        <v>3.11492919921875</v>
      </c>
      <c r="AN4">
        <f t="shared" si="18"/>
        <v>12.70450692354375</v>
      </c>
      <c r="AO4">
        <f t="shared" si="19"/>
        <v>98.434786711289092</v>
      </c>
    </row>
    <row r="5" spans="1:41" x14ac:dyDescent="0.15">
      <c r="A5" s="1">
        <v>3</v>
      </c>
      <c r="B5">
        <v>1111.1452520734199</v>
      </c>
      <c r="C5">
        <v>3.15643310546875</v>
      </c>
      <c r="D5">
        <f t="shared" si="0"/>
        <v>3.3526434667880798</v>
      </c>
      <c r="E5">
        <f t="shared" si="1"/>
        <v>25.692046462763233</v>
      </c>
      <c r="F5">
        <v>37114.840651172803</v>
      </c>
      <c r="G5">
        <v>3.0914306640625</v>
      </c>
      <c r="H5">
        <f t="shared" si="2"/>
        <v>12.746321894249768</v>
      </c>
      <c r="I5">
        <f t="shared" si="3"/>
        <v>97.677876451961311</v>
      </c>
      <c r="J5">
        <v>73119.874383268907</v>
      </c>
      <c r="K5">
        <v>3.0282222863399699</v>
      </c>
      <c r="L5">
        <f t="shared" si="4"/>
        <v>3.2009711035068338</v>
      </c>
      <c r="M5">
        <f t="shared" si="5"/>
        <v>24.818209429680881</v>
      </c>
      <c r="N5">
        <v>109123.255690369</v>
      </c>
      <c r="O5">
        <v>3.0926513671875</v>
      </c>
      <c r="P5">
        <f t="shared" si="6"/>
        <v>12.594649530968526</v>
      </c>
      <c r="Q5">
        <f t="shared" si="7"/>
        <v>97.650569044676672</v>
      </c>
      <c r="R5">
        <v>145128.635409465</v>
      </c>
      <c r="S5">
        <v>3.0323375355109801</v>
      </c>
      <c r="T5">
        <f t="shared" si="8"/>
        <v>3.204022861319447</v>
      </c>
      <c r="U5">
        <f t="shared" si="9"/>
        <v>24.835994216910276</v>
      </c>
      <c r="V5">
        <v>181132.02671756499</v>
      </c>
      <c r="W5">
        <v>3.092041015625</v>
      </c>
      <c r="X5">
        <f t="shared" si="10"/>
        <v>12.597701288780842</v>
      </c>
      <c r="Y5">
        <f t="shared" si="11"/>
        <v>97.651124819277541</v>
      </c>
      <c r="Z5">
        <v>217137.42544366</v>
      </c>
      <c r="AA5">
        <v>3.0388664476801801</v>
      </c>
      <c r="AB5">
        <f t="shared" si="12"/>
        <v>3.207074619131947</v>
      </c>
      <c r="AC5">
        <f t="shared" si="13"/>
        <v>24.853770591892609</v>
      </c>
      <c r="AD5">
        <v>253140.85275275999</v>
      </c>
      <c r="AE5">
        <v>3.092041015625</v>
      </c>
      <c r="AF5">
        <f t="shared" si="14"/>
        <v>12.600753046593335</v>
      </c>
      <c r="AG5">
        <f t="shared" si="15"/>
        <v>97.651680330995688</v>
      </c>
      <c r="AH5">
        <v>289146.43848185497</v>
      </c>
      <c r="AI5">
        <v>3.0431389086176601</v>
      </c>
      <c r="AJ5">
        <f t="shared" si="16"/>
        <v>3.209821201163189</v>
      </c>
      <c r="AK5">
        <f t="shared" si="17"/>
        <v>24.869762141838407</v>
      </c>
      <c r="AL5">
        <v>325149.89779095497</v>
      </c>
      <c r="AM5">
        <v>3.09234619140625</v>
      </c>
      <c r="AN5">
        <f t="shared" si="18"/>
        <v>12.603499628624592</v>
      </c>
      <c r="AO5">
        <f t="shared" si="19"/>
        <v>97.65218006693155</v>
      </c>
    </row>
    <row r="6" spans="1:41" x14ac:dyDescent="0.15">
      <c r="A6" s="1">
        <v>4</v>
      </c>
      <c r="B6">
        <v>1474.7715137816101</v>
      </c>
      <c r="C6">
        <v>3.1570403744475999</v>
      </c>
      <c r="D6">
        <f t="shared" si="0"/>
        <v>3.4536507617070216</v>
      </c>
      <c r="E6">
        <f t="shared" si="1"/>
        <v>26.466087645442776</v>
      </c>
      <c r="F6">
        <v>37478.466912880998</v>
      </c>
      <c r="G6">
        <v>3.0731201171875</v>
      </c>
      <c r="H6">
        <f t="shared" si="2"/>
        <v>12.645314599330824</v>
      </c>
      <c r="I6">
        <f t="shared" si="3"/>
        <v>96.903835269281757</v>
      </c>
      <c r="J6">
        <v>73483.500644977103</v>
      </c>
      <c r="K6">
        <v>3.0511474609375</v>
      </c>
      <c r="L6">
        <f t="shared" si="4"/>
        <v>3.3019783984257769</v>
      </c>
      <c r="M6">
        <f t="shared" si="5"/>
        <v>25.601353081455031</v>
      </c>
      <c r="N6">
        <v>109486.881952077</v>
      </c>
      <c r="O6">
        <v>3.07464599609375</v>
      </c>
      <c r="P6">
        <f t="shared" si="6"/>
        <v>12.493642236049636</v>
      </c>
      <c r="Q6">
        <f t="shared" si="7"/>
        <v>96.867425392902931</v>
      </c>
      <c r="R6">
        <v>145492.26167117301</v>
      </c>
      <c r="S6">
        <v>3.0546554411299902</v>
      </c>
      <c r="T6">
        <f t="shared" si="8"/>
        <v>3.3050301562383377</v>
      </c>
      <c r="U6">
        <f t="shared" si="9"/>
        <v>25.618952610483735</v>
      </c>
      <c r="V6">
        <v>181495.652979273</v>
      </c>
      <c r="W6">
        <v>3.07403564453125</v>
      </c>
      <c r="X6">
        <f t="shared" si="10"/>
        <v>12.496693993861951</v>
      </c>
      <c r="Y6">
        <f t="shared" si="11"/>
        <v>96.868166425704089</v>
      </c>
      <c r="Z6">
        <v>217501.05170536801</v>
      </c>
      <c r="AA6">
        <v>3.06060791015625</v>
      </c>
      <c r="AB6">
        <f t="shared" si="12"/>
        <v>3.3080819140508377</v>
      </c>
      <c r="AC6">
        <f t="shared" si="13"/>
        <v>25.636543814893344</v>
      </c>
      <c r="AD6">
        <v>253504.479014468</v>
      </c>
      <c r="AE6">
        <v>3.07403564453125</v>
      </c>
      <c r="AF6">
        <f t="shared" si="14"/>
        <v>12.499745751674443</v>
      </c>
      <c r="AG6">
        <f t="shared" si="15"/>
        <v>96.868907107994957</v>
      </c>
      <c r="AH6">
        <v>289510.06474356301</v>
      </c>
      <c r="AI6">
        <v>3.06396484375</v>
      </c>
      <c r="AJ6">
        <f t="shared" si="16"/>
        <v>3.3108284960820877</v>
      </c>
      <c r="AK6">
        <f t="shared" si="17"/>
        <v>25.652368786193925</v>
      </c>
      <c r="AL6">
        <v>325513.52405266301</v>
      </c>
      <c r="AM6">
        <v>3.07388151534873</v>
      </c>
      <c r="AN6">
        <f t="shared" si="18"/>
        <v>12.502492333705693</v>
      </c>
      <c r="AO6">
        <f t="shared" si="19"/>
        <v>96.869573422576025</v>
      </c>
    </row>
    <row r="7" spans="1:41" x14ac:dyDescent="0.15">
      <c r="A7" s="1">
        <v>5</v>
      </c>
      <c r="B7">
        <v>1838.3977754898101</v>
      </c>
      <c r="C7">
        <v>3.15769388218119</v>
      </c>
      <c r="D7">
        <f t="shared" si="0"/>
        <v>3.554658056625966</v>
      </c>
      <c r="E7">
        <f t="shared" si="1"/>
        <v>27.240128828122334</v>
      </c>
      <c r="F7">
        <v>37842.093174589201</v>
      </c>
      <c r="G7">
        <v>3.0572509765625</v>
      </c>
      <c r="H7">
        <f t="shared" si="2"/>
        <v>12.54430730441188</v>
      </c>
      <c r="I7">
        <f t="shared" si="3"/>
        <v>96.129794086602203</v>
      </c>
      <c r="J7">
        <v>73847.126906685298</v>
      </c>
      <c r="K7">
        <v>3.07098388671875</v>
      </c>
      <c r="L7">
        <f t="shared" si="4"/>
        <v>3.4029856933447205</v>
      </c>
      <c r="M7">
        <f t="shared" si="5"/>
        <v>26.384496733229184</v>
      </c>
      <c r="N7">
        <v>109850.508213785</v>
      </c>
      <c r="O7">
        <v>3.05938720703125</v>
      </c>
      <c r="P7">
        <f t="shared" si="6"/>
        <v>12.392634941130749</v>
      </c>
      <c r="Q7">
        <f t="shared" si="7"/>
        <v>96.084281741129217</v>
      </c>
      <c r="R7">
        <v>145855.88793288101</v>
      </c>
      <c r="S7">
        <v>3.0739955709437998</v>
      </c>
      <c r="T7">
        <f t="shared" si="8"/>
        <v>3.4060374511572284</v>
      </c>
      <c r="U7">
        <f t="shared" si="9"/>
        <v>26.401911004057197</v>
      </c>
      <c r="V7">
        <v>181859.27924098101</v>
      </c>
      <c r="W7">
        <v>3.05908203125</v>
      </c>
      <c r="X7">
        <f t="shared" si="10"/>
        <v>12.395686698943061</v>
      </c>
      <c r="Y7">
        <f t="shared" si="11"/>
        <v>96.085208032130637</v>
      </c>
      <c r="Z7">
        <v>217864.67796707599</v>
      </c>
      <c r="AA7">
        <v>3.0794486614188501</v>
      </c>
      <c r="AB7">
        <f t="shared" si="12"/>
        <v>3.4090892089697205</v>
      </c>
      <c r="AC7">
        <f t="shared" si="13"/>
        <v>26.419317037894007</v>
      </c>
      <c r="AD7">
        <v>253868.10527617601</v>
      </c>
      <c r="AE7">
        <v>3.05877685546875</v>
      </c>
      <c r="AF7">
        <f t="shared" si="14"/>
        <v>12.398738456755552</v>
      </c>
      <c r="AG7">
        <f t="shared" si="15"/>
        <v>96.086133884994226</v>
      </c>
      <c r="AH7">
        <v>289873.69100527099</v>
      </c>
      <c r="AI7">
        <v>3.08258056640625</v>
      </c>
      <c r="AJ7">
        <f t="shared" si="16"/>
        <v>3.4118357910009705</v>
      </c>
      <c r="AK7">
        <f t="shared" si="17"/>
        <v>26.434975430549322</v>
      </c>
      <c r="AL7">
        <v>325877.15031437099</v>
      </c>
      <c r="AM7">
        <v>3.0584716796875</v>
      </c>
      <c r="AN7">
        <f t="shared" si="18"/>
        <v>12.401485038786811</v>
      </c>
      <c r="AO7">
        <f t="shared" si="19"/>
        <v>96.086966778220642</v>
      </c>
    </row>
    <row r="8" spans="1:41" x14ac:dyDescent="0.15">
      <c r="A8" s="1">
        <v>6</v>
      </c>
      <c r="B8">
        <v>2202.0240371979999</v>
      </c>
      <c r="C8">
        <v>3.1586433179450801</v>
      </c>
      <c r="D8">
        <f t="shared" si="0"/>
        <v>3.6556653515449078</v>
      </c>
      <c r="E8">
        <f t="shared" si="1"/>
        <v>28.014170010801877</v>
      </c>
      <c r="F8">
        <v>38205.719436297397</v>
      </c>
      <c r="G8">
        <v>3.04351806640625</v>
      </c>
      <c r="H8">
        <f t="shared" si="2"/>
        <v>12.443300009492937</v>
      </c>
      <c r="I8">
        <f t="shared" si="3"/>
        <v>95.355752903922635</v>
      </c>
      <c r="J8">
        <v>74210.753168393494</v>
      </c>
      <c r="K8">
        <v>3.0879997484612001</v>
      </c>
      <c r="L8">
        <f t="shared" si="4"/>
        <v>3.5039929882636636</v>
      </c>
      <c r="M8">
        <f t="shared" si="5"/>
        <v>27.167640385003335</v>
      </c>
      <c r="N8">
        <v>110214.134475493</v>
      </c>
      <c r="O8">
        <v>3.0462646484375</v>
      </c>
      <c r="P8">
        <f t="shared" si="6"/>
        <v>12.291627646211857</v>
      </c>
      <c r="Q8">
        <f t="shared" si="7"/>
        <v>95.301138089355462</v>
      </c>
      <c r="R8">
        <v>146219.51419458899</v>
      </c>
      <c r="S8">
        <v>3.0904411547112001</v>
      </c>
      <c r="T8">
        <f t="shared" si="8"/>
        <v>3.5070447460761107</v>
      </c>
      <c r="U8">
        <f t="shared" si="9"/>
        <v>27.184869397630596</v>
      </c>
      <c r="V8">
        <v>182222.90550268901</v>
      </c>
      <c r="W8">
        <v>3.04595947265625</v>
      </c>
      <c r="X8">
        <f t="shared" si="10"/>
        <v>12.294679404024169</v>
      </c>
      <c r="Y8">
        <f t="shared" si="11"/>
        <v>95.302249638557157</v>
      </c>
      <c r="Z8">
        <v>218228.30422878399</v>
      </c>
      <c r="AA8">
        <v>3.09478759765625</v>
      </c>
      <c r="AB8">
        <f t="shared" si="12"/>
        <v>3.5100965038886107</v>
      </c>
      <c r="AC8">
        <f t="shared" si="13"/>
        <v>27.202090260894735</v>
      </c>
      <c r="AD8">
        <v>254231.73153788401</v>
      </c>
      <c r="AE8">
        <v>3.04595947265625</v>
      </c>
      <c r="AF8">
        <f t="shared" si="14"/>
        <v>12.297731161836662</v>
      </c>
      <c r="AG8">
        <f t="shared" si="15"/>
        <v>95.303360661993494</v>
      </c>
      <c r="AH8">
        <v>290237.31726697902</v>
      </c>
      <c r="AI8">
        <v>3.0976913914536501</v>
      </c>
      <c r="AJ8">
        <f t="shared" si="16"/>
        <v>3.5128430859198692</v>
      </c>
      <c r="AK8">
        <f t="shared" si="17"/>
        <v>27.217582074904843</v>
      </c>
      <c r="AL8">
        <v>326240.77657607902</v>
      </c>
      <c r="AM8">
        <v>3.0454231031012999</v>
      </c>
      <c r="AN8">
        <f t="shared" si="18"/>
        <v>12.300477743867912</v>
      </c>
      <c r="AO8">
        <f t="shared" si="19"/>
        <v>95.304360133865117</v>
      </c>
    </row>
    <row r="9" spans="1:41" x14ac:dyDescent="0.15">
      <c r="A9" s="1">
        <v>7</v>
      </c>
      <c r="B9">
        <v>2565.6502989061901</v>
      </c>
      <c r="C9">
        <v>3.15899164989741</v>
      </c>
      <c r="D9">
        <f t="shared" si="0"/>
        <v>3.7566726464638496</v>
      </c>
      <c r="E9">
        <f t="shared" si="1"/>
        <v>28.788211193481416</v>
      </c>
      <c r="F9">
        <v>38569.3456980056</v>
      </c>
      <c r="G9">
        <v>3.03149907275884</v>
      </c>
      <c r="H9">
        <f t="shared" si="2"/>
        <v>12.342292714573992</v>
      </c>
      <c r="I9">
        <f t="shared" si="3"/>
        <v>94.581711721243082</v>
      </c>
      <c r="J9">
        <v>74574.379430101704</v>
      </c>
      <c r="K9">
        <v>3.10187754004889</v>
      </c>
      <c r="L9">
        <f t="shared" si="4"/>
        <v>3.6050002831826107</v>
      </c>
      <c r="M9">
        <f t="shared" si="5"/>
        <v>27.950784036777517</v>
      </c>
      <c r="N9">
        <v>110577.760737201</v>
      </c>
      <c r="O9">
        <v>3.03497314453125</v>
      </c>
      <c r="P9">
        <f t="shared" si="6"/>
        <v>12.190620351292971</v>
      </c>
      <c r="Q9">
        <f t="shared" si="7"/>
        <v>94.517994437581748</v>
      </c>
      <c r="R9">
        <v>146583.140456297</v>
      </c>
      <c r="S9">
        <v>3.1043651850537399</v>
      </c>
      <c r="T9">
        <f t="shared" si="8"/>
        <v>3.6080520409950019</v>
      </c>
      <c r="U9">
        <f t="shared" si="9"/>
        <v>27.967827791204058</v>
      </c>
      <c r="V9">
        <v>182586.53176439699</v>
      </c>
      <c r="W9">
        <v>3.0348560063524999</v>
      </c>
      <c r="X9">
        <f t="shared" si="10"/>
        <v>12.193672109105288</v>
      </c>
      <c r="Y9">
        <f t="shared" si="11"/>
        <v>94.519291244983776</v>
      </c>
      <c r="Z9">
        <v>218591.930490492</v>
      </c>
      <c r="AA9">
        <v>3.10821533203125</v>
      </c>
      <c r="AB9">
        <f t="shared" si="12"/>
        <v>3.6111037988075019</v>
      </c>
      <c r="AC9">
        <f t="shared" si="13"/>
        <v>27.984863483895467</v>
      </c>
      <c r="AD9">
        <v>254595.35779959199</v>
      </c>
      <c r="AE9">
        <v>3.03497314453125</v>
      </c>
      <c r="AF9">
        <f t="shared" si="14"/>
        <v>12.196723866917779</v>
      </c>
      <c r="AG9">
        <f t="shared" si="15"/>
        <v>94.520587438992834</v>
      </c>
      <c r="AH9">
        <v>290600.943528687</v>
      </c>
      <c r="AI9">
        <v>3.1105858388574998</v>
      </c>
      <c r="AJ9">
        <f t="shared" si="16"/>
        <v>3.6138503808387519</v>
      </c>
      <c r="AK9">
        <f t="shared" si="17"/>
        <v>28.000188719260244</v>
      </c>
      <c r="AL9">
        <v>326604.402837787</v>
      </c>
      <c r="AM9">
        <v>3.03436279296875</v>
      </c>
      <c r="AN9">
        <f t="shared" si="18"/>
        <v>12.199470448949029</v>
      </c>
      <c r="AO9">
        <f t="shared" si="19"/>
        <v>94.521753489509706</v>
      </c>
    </row>
    <row r="10" spans="1:41" x14ac:dyDescent="0.15">
      <c r="A10" s="1">
        <v>8</v>
      </c>
      <c r="B10">
        <v>2929.2765606143898</v>
      </c>
      <c r="C10">
        <v>3.1594941110321999</v>
      </c>
      <c r="D10">
        <f t="shared" si="0"/>
        <v>3.857679941382794</v>
      </c>
      <c r="E10">
        <f t="shared" si="1"/>
        <v>29.562252376160981</v>
      </c>
      <c r="F10">
        <v>38932.971959713803</v>
      </c>
      <c r="G10">
        <v>3.02093505859375</v>
      </c>
      <c r="H10">
        <f t="shared" si="2"/>
        <v>12.241285419655046</v>
      </c>
      <c r="I10">
        <f t="shared" si="3"/>
        <v>93.807670538563514</v>
      </c>
      <c r="J10">
        <v>74938.0056918099</v>
      </c>
      <c r="K10">
        <v>3.11279296875</v>
      </c>
      <c r="L10">
        <f t="shared" si="4"/>
        <v>3.7060075781015538</v>
      </c>
      <c r="M10">
        <f t="shared" si="5"/>
        <v>28.733927688551663</v>
      </c>
      <c r="N10">
        <v>110941.38699891001</v>
      </c>
      <c r="O10">
        <v>3.02490234375</v>
      </c>
      <c r="P10">
        <f t="shared" si="6"/>
        <v>12.089613056373802</v>
      </c>
      <c r="Q10">
        <f t="shared" si="7"/>
        <v>93.734850785805861</v>
      </c>
      <c r="R10">
        <v>146946.76671800599</v>
      </c>
      <c r="S10">
        <v>3.1152405401675698</v>
      </c>
      <c r="T10">
        <f t="shared" si="8"/>
        <v>3.7090593359141675</v>
      </c>
      <c r="U10">
        <f t="shared" si="9"/>
        <v>28.750786184779653</v>
      </c>
      <c r="V10">
        <v>182950.15802610599</v>
      </c>
      <c r="W10">
        <v>3.02520751953125</v>
      </c>
      <c r="X10">
        <f t="shared" si="10"/>
        <v>12.092664814186122</v>
      </c>
      <c r="Y10">
        <f t="shared" si="11"/>
        <v>93.736332851408179</v>
      </c>
      <c r="Z10">
        <v>218955.556752201</v>
      </c>
      <c r="AA10">
        <v>3.1186005563451098</v>
      </c>
      <c r="AB10">
        <f t="shared" si="12"/>
        <v>3.7121110937266675</v>
      </c>
      <c r="AC10">
        <f t="shared" si="13"/>
        <v>28.767636706898326</v>
      </c>
      <c r="AD10">
        <v>254958.98406130099</v>
      </c>
      <c r="AE10">
        <v>3.02520751953125</v>
      </c>
      <c r="AF10">
        <f t="shared" si="14"/>
        <v>12.095716571998613</v>
      </c>
      <c r="AG10">
        <f t="shared" si="15"/>
        <v>93.737814215989971</v>
      </c>
      <c r="AH10">
        <v>290964.56979039602</v>
      </c>
      <c r="AI10">
        <v>3.1210388800112998</v>
      </c>
      <c r="AJ10">
        <f t="shared" si="16"/>
        <v>3.7148576757579255</v>
      </c>
      <c r="AK10">
        <f t="shared" si="17"/>
        <v>28.782795363617897</v>
      </c>
      <c r="AL10">
        <v>326968.02909949602</v>
      </c>
      <c r="AM10">
        <v>3.02459716796875</v>
      </c>
      <c r="AN10">
        <f t="shared" si="18"/>
        <v>12.098463154029856</v>
      </c>
      <c r="AO10">
        <f t="shared" si="19"/>
        <v>93.739146845152064</v>
      </c>
    </row>
    <row r="11" spans="1:41" x14ac:dyDescent="0.15">
      <c r="A11" s="1">
        <v>9</v>
      </c>
      <c r="B11">
        <v>3292.9028223225801</v>
      </c>
      <c r="C11">
        <v>3.1607887961647698</v>
      </c>
      <c r="D11">
        <f t="shared" si="0"/>
        <v>3.9586872363017354</v>
      </c>
      <c r="E11">
        <f t="shared" si="1"/>
        <v>30.336293558840516</v>
      </c>
      <c r="F11">
        <v>39296.598221421998</v>
      </c>
      <c r="G11">
        <v>3.0120849609375</v>
      </c>
      <c r="H11">
        <f t="shared" si="2"/>
        <v>12.140278124736103</v>
      </c>
      <c r="I11">
        <f t="shared" si="3"/>
        <v>93.033629355883946</v>
      </c>
      <c r="J11">
        <v>75301.631953518096</v>
      </c>
      <c r="K11">
        <v>3.1219482421875</v>
      </c>
      <c r="L11">
        <f t="shared" si="4"/>
        <v>3.8070148730204973</v>
      </c>
      <c r="M11">
        <f t="shared" si="5"/>
        <v>29.517071340325817</v>
      </c>
      <c r="N11">
        <v>111305.013260618</v>
      </c>
      <c r="O11">
        <v>3.016357421875</v>
      </c>
      <c r="P11">
        <f t="shared" si="6"/>
        <v>11.988605761454915</v>
      </c>
      <c r="Q11">
        <f t="shared" si="7"/>
        <v>92.951707134032134</v>
      </c>
      <c r="R11">
        <v>147310.392979714</v>
      </c>
      <c r="S11">
        <v>3.1242786754262202</v>
      </c>
      <c r="T11">
        <f t="shared" si="8"/>
        <v>3.8100666308330577</v>
      </c>
      <c r="U11">
        <f t="shared" si="9"/>
        <v>29.533744578353112</v>
      </c>
      <c r="V11">
        <v>183313.78428781399</v>
      </c>
      <c r="W11">
        <v>3.01666259765625</v>
      </c>
      <c r="X11">
        <f t="shared" si="10"/>
        <v>11.99165751926723</v>
      </c>
      <c r="Y11">
        <f t="shared" si="11"/>
        <v>92.953374457834698</v>
      </c>
      <c r="Z11">
        <v>219319.183013909</v>
      </c>
      <c r="AA11">
        <v>3.12835693359375</v>
      </c>
      <c r="AB11">
        <f t="shared" si="12"/>
        <v>3.8131183886455577</v>
      </c>
      <c r="AC11">
        <f t="shared" si="13"/>
        <v>29.55040992989905</v>
      </c>
      <c r="AD11">
        <v>255322.61032300899</v>
      </c>
      <c r="AE11">
        <v>3.0169677734375</v>
      </c>
      <c r="AF11">
        <f t="shared" si="14"/>
        <v>11.994709277079723</v>
      </c>
      <c r="AG11">
        <f t="shared" si="15"/>
        <v>92.95504099298924</v>
      </c>
      <c r="AH11">
        <v>291328.196052104</v>
      </c>
      <c r="AI11">
        <v>3.1298828125</v>
      </c>
      <c r="AJ11">
        <f t="shared" si="16"/>
        <v>3.8158649706768077</v>
      </c>
      <c r="AK11">
        <f t="shared" si="17"/>
        <v>29.56540200797329</v>
      </c>
      <c r="AL11">
        <v>327331.655361204</v>
      </c>
      <c r="AM11">
        <v>3.016357421875</v>
      </c>
      <c r="AN11">
        <f t="shared" si="18"/>
        <v>11.997455859110973</v>
      </c>
      <c r="AO11">
        <f t="shared" si="19"/>
        <v>92.956540200796667</v>
      </c>
    </row>
    <row r="12" spans="1:41" x14ac:dyDescent="0.15">
      <c r="A12" s="1">
        <v>10</v>
      </c>
      <c r="B12">
        <v>3656.5290840307798</v>
      </c>
      <c r="C12">
        <v>3.1611710365372501</v>
      </c>
      <c r="D12">
        <f t="shared" si="0"/>
        <v>4.0596945312206802</v>
      </c>
      <c r="E12">
        <f t="shared" si="1"/>
        <v>31.110334741520081</v>
      </c>
      <c r="F12">
        <v>39660.224483130201</v>
      </c>
      <c r="G12">
        <v>3.0043754192313799</v>
      </c>
      <c r="H12">
        <f t="shared" si="2"/>
        <v>12.039270829817157</v>
      </c>
      <c r="I12">
        <f t="shared" si="3"/>
        <v>92.259588173204392</v>
      </c>
      <c r="J12">
        <v>75665.258215226306</v>
      </c>
      <c r="K12">
        <v>3.1293526081124101</v>
      </c>
      <c r="L12">
        <f t="shared" si="4"/>
        <v>3.9080221679394445</v>
      </c>
      <c r="M12">
        <f t="shared" si="5"/>
        <v>30.300214992099995</v>
      </c>
      <c r="N12">
        <v>111668.639522326</v>
      </c>
      <c r="O12">
        <v>3.009033203125</v>
      </c>
      <c r="P12">
        <f t="shared" si="6"/>
        <v>11.887598466536025</v>
      </c>
      <c r="Q12">
        <f t="shared" si="7"/>
        <v>92.168563482258406</v>
      </c>
      <c r="R12">
        <v>147674.01924142201</v>
      </c>
      <c r="S12">
        <v>3.1317292801058398</v>
      </c>
      <c r="T12">
        <f t="shared" si="8"/>
        <v>3.9110739257519489</v>
      </c>
      <c r="U12">
        <f t="shared" si="9"/>
        <v>30.316702971926574</v>
      </c>
      <c r="V12">
        <v>183677.410549522</v>
      </c>
      <c r="W12">
        <v>3.00933837890625</v>
      </c>
      <c r="X12">
        <f t="shared" si="10"/>
        <v>11.89065022434834</v>
      </c>
      <c r="Y12">
        <f t="shared" si="11"/>
        <v>92.170416064261246</v>
      </c>
      <c r="Z12">
        <v>219682.80927561701</v>
      </c>
      <c r="AA12">
        <v>3.13584144669354</v>
      </c>
      <c r="AB12">
        <f t="shared" si="12"/>
        <v>3.9141256835644489</v>
      </c>
      <c r="AC12">
        <f t="shared" si="13"/>
        <v>30.333183152899785</v>
      </c>
      <c r="AD12">
        <v>255686.236584717</v>
      </c>
      <c r="AE12">
        <v>3.00994873046875</v>
      </c>
      <c r="AF12">
        <f t="shared" si="14"/>
        <v>11.893701982160833</v>
      </c>
      <c r="AG12">
        <f t="shared" si="15"/>
        <v>92.172267769988508</v>
      </c>
      <c r="AH12">
        <v>291691.82231381198</v>
      </c>
      <c r="AI12">
        <v>3.1375923542061499</v>
      </c>
      <c r="AJ12">
        <f t="shared" si="16"/>
        <v>3.9168722655956905</v>
      </c>
      <c r="AK12">
        <f t="shared" si="17"/>
        <v>30.348008652328691</v>
      </c>
      <c r="AL12">
        <v>327695.28162291198</v>
      </c>
      <c r="AM12">
        <v>3.00933837890625</v>
      </c>
      <c r="AN12">
        <f t="shared" si="18"/>
        <v>11.89644856419209</v>
      </c>
      <c r="AO12">
        <f t="shared" si="19"/>
        <v>92.17393355644127</v>
      </c>
    </row>
    <row r="13" spans="1:41" x14ac:dyDescent="0.15">
      <c r="A13" s="1">
        <v>11</v>
      </c>
      <c r="B13">
        <v>4020.15534573897</v>
      </c>
      <c r="C13">
        <v>3.16192626953125</v>
      </c>
      <c r="D13">
        <f t="shared" si="0"/>
        <v>4.160701826139622</v>
      </c>
      <c r="E13">
        <f t="shared" si="1"/>
        <v>31.88437592419962</v>
      </c>
      <c r="F13">
        <v>40023.850744838302</v>
      </c>
      <c r="G13">
        <v>2.9974365234375</v>
      </c>
      <c r="H13">
        <f t="shared" si="2"/>
        <v>11.93826353489824</v>
      </c>
      <c r="I13">
        <f t="shared" si="3"/>
        <v>91.485546990525037</v>
      </c>
      <c r="J13">
        <v>76028.884476934501</v>
      </c>
      <c r="K13">
        <v>3.1353081597222898</v>
      </c>
      <c r="L13">
        <f t="shared" si="4"/>
        <v>4.009029462858388</v>
      </c>
      <c r="M13">
        <f t="shared" si="5"/>
        <v>31.083358643874149</v>
      </c>
      <c r="N13">
        <v>112032.265784034</v>
      </c>
      <c r="O13">
        <v>3.00262451171875</v>
      </c>
      <c r="P13">
        <f t="shared" si="6"/>
        <v>11.786591171617138</v>
      </c>
      <c r="Q13">
        <f t="shared" si="7"/>
        <v>91.385419830484679</v>
      </c>
      <c r="R13">
        <v>148037.64550313001</v>
      </c>
      <c r="S13">
        <v>3.138427734375</v>
      </c>
      <c r="T13">
        <f t="shared" si="8"/>
        <v>4.0120812206708392</v>
      </c>
      <c r="U13">
        <f t="shared" si="9"/>
        <v>31.099661365500037</v>
      </c>
      <c r="V13">
        <v>184041.03681123001</v>
      </c>
      <c r="W13">
        <v>3.0029296875</v>
      </c>
      <c r="X13">
        <f t="shared" si="10"/>
        <v>11.78964292942945</v>
      </c>
      <c r="Y13">
        <f t="shared" si="11"/>
        <v>91.387457670687795</v>
      </c>
      <c r="Z13">
        <v>220046.43553732499</v>
      </c>
      <c r="AA13">
        <v>3.14208984375</v>
      </c>
      <c r="AB13">
        <f t="shared" si="12"/>
        <v>4.0151329784833312</v>
      </c>
      <c r="AC13">
        <f t="shared" si="13"/>
        <v>31.115956375900446</v>
      </c>
      <c r="AD13">
        <v>256049.86284642501</v>
      </c>
      <c r="AE13">
        <v>3.0035400390625</v>
      </c>
      <c r="AF13">
        <f t="shared" si="14"/>
        <v>11.792694687241941</v>
      </c>
      <c r="AG13">
        <f t="shared" si="15"/>
        <v>91.389494546987777</v>
      </c>
      <c r="AH13">
        <v>292055.44857552001</v>
      </c>
      <c r="AI13">
        <v>3.1439208984375</v>
      </c>
      <c r="AJ13">
        <f t="shared" si="16"/>
        <v>4.0178795605145892</v>
      </c>
      <c r="AK13">
        <f t="shared" si="17"/>
        <v>31.130615296684212</v>
      </c>
      <c r="AL13">
        <v>328058.90788462001</v>
      </c>
      <c r="AM13">
        <v>3.0029296875</v>
      </c>
      <c r="AN13">
        <f t="shared" si="18"/>
        <v>11.795441269273191</v>
      </c>
      <c r="AO13">
        <f t="shared" si="19"/>
        <v>91.391326912085731</v>
      </c>
    </row>
    <row r="14" spans="1:41" x14ac:dyDescent="0.15">
      <c r="A14" s="1">
        <v>12</v>
      </c>
      <c r="B14">
        <v>4383.7816074471702</v>
      </c>
      <c r="C14">
        <v>3.1614823774857999</v>
      </c>
      <c r="D14">
        <f t="shared" si="0"/>
        <v>4.2617091210585656</v>
      </c>
      <c r="E14">
        <f t="shared" si="1"/>
        <v>32.658417106879178</v>
      </c>
      <c r="F14">
        <v>40387.477006546498</v>
      </c>
      <c r="G14">
        <v>2.99163818359375</v>
      </c>
      <c r="H14">
        <f t="shared" si="2"/>
        <v>11.837256239979297</v>
      </c>
      <c r="I14">
        <f t="shared" si="3"/>
        <v>90.711505807845484</v>
      </c>
      <c r="J14">
        <v>76392.510738642697</v>
      </c>
      <c r="K14">
        <v>3.1385849461411199</v>
      </c>
      <c r="L14">
        <f t="shared" si="4"/>
        <v>4.1100367577773316</v>
      </c>
      <c r="M14">
        <f t="shared" si="5"/>
        <v>31.866502295648303</v>
      </c>
      <c r="N14">
        <v>112395.892045742</v>
      </c>
      <c r="O14">
        <v>2.996826171875</v>
      </c>
      <c r="P14">
        <f t="shared" si="6"/>
        <v>11.685583876698248</v>
      </c>
      <c r="Q14">
        <f t="shared" si="7"/>
        <v>90.602276178710952</v>
      </c>
      <c r="R14">
        <v>148401.27176483799</v>
      </c>
      <c r="S14">
        <v>3.1433197946260498</v>
      </c>
      <c r="T14">
        <f t="shared" si="8"/>
        <v>4.1130885155897214</v>
      </c>
      <c r="U14">
        <f t="shared" si="9"/>
        <v>31.882619759073432</v>
      </c>
      <c r="V14">
        <v>184404.66307293801</v>
      </c>
      <c r="W14">
        <v>2.9974365234375</v>
      </c>
      <c r="X14">
        <f t="shared" si="10"/>
        <v>11.688635634510559</v>
      </c>
      <c r="Y14">
        <f t="shared" si="11"/>
        <v>90.604499277114328</v>
      </c>
      <c r="Z14">
        <v>220410.06179903299</v>
      </c>
      <c r="AA14">
        <v>3.1466582327177002</v>
      </c>
      <c r="AB14">
        <f t="shared" si="12"/>
        <v>4.1161402734022214</v>
      </c>
      <c r="AC14">
        <f t="shared" si="13"/>
        <v>31.89872959890117</v>
      </c>
      <c r="AD14">
        <v>256413.48910813301</v>
      </c>
      <c r="AE14">
        <v>2.998046875</v>
      </c>
      <c r="AF14">
        <f t="shared" si="14"/>
        <v>11.69168739232305</v>
      </c>
      <c r="AG14">
        <f t="shared" si="15"/>
        <v>90.606721323987045</v>
      </c>
      <c r="AH14">
        <v>292419.07483722799</v>
      </c>
      <c r="AI14">
        <v>3.1480546431109402</v>
      </c>
      <c r="AJ14">
        <f t="shared" si="16"/>
        <v>4.1188868554334714</v>
      </c>
      <c r="AK14">
        <f t="shared" si="17"/>
        <v>31.913221941039605</v>
      </c>
      <c r="AL14">
        <v>328422.53414632799</v>
      </c>
      <c r="AM14">
        <v>2.9974365234375</v>
      </c>
      <c r="AN14">
        <f t="shared" si="18"/>
        <v>11.694433974354309</v>
      </c>
      <c r="AO14">
        <f t="shared" si="19"/>
        <v>90.608720267730362</v>
      </c>
    </row>
    <row r="15" spans="1:41" x14ac:dyDescent="0.15">
      <c r="A15" s="1">
        <v>13</v>
      </c>
      <c r="B15">
        <v>4747.4078691553595</v>
      </c>
      <c r="C15">
        <v>3.1606192540640801</v>
      </c>
      <c r="D15">
        <f t="shared" si="0"/>
        <v>4.3627164159775074</v>
      </c>
      <c r="E15">
        <f t="shared" si="1"/>
        <v>33.432458289558717</v>
      </c>
      <c r="F15">
        <v>40751.103268254701</v>
      </c>
      <c r="G15">
        <v>2.9864501953125</v>
      </c>
      <c r="H15">
        <f t="shared" si="2"/>
        <v>11.736248945060352</v>
      </c>
      <c r="I15">
        <f t="shared" si="3"/>
        <v>89.937464625165916</v>
      </c>
      <c r="J15">
        <v>76756.137000350893</v>
      </c>
      <c r="K15">
        <v>3.14235186336012</v>
      </c>
      <c r="L15">
        <f t="shared" si="4"/>
        <v>4.2110440526962742</v>
      </c>
      <c r="M15">
        <f t="shared" si="5"/>
        <v>32.649645947422449</v>
      </c>
      <c r="N15">
        <v>112759.518307451</v>
      </c>
      <c r="O15">
        <v>2.991943359375</v>
      </c>
      <c r="P15">
        <f t="shared" si="6"/>
        <v>11.584576581779082</v>
      </c>
      <c r="Q15">
        <f t="shared" si="7"/>
        <v>89.819132526935078</v>
      </c>
      <c r="R15">
        <v>148764.89802654699</v>
      </c>
      <c r="S15">
        <v>3.14692950007881</v>
      </c>
      <c r="T15">
        <f t="shared" si="8"/>
        <v>4.214095810508887</v>
      </c>
      <c r="U15">
        <f t="shared" si="9"/>
        <v>32.665578152649019</v>
      </c>
      <c r="V15">
        <v>184768.28933464701</v>
      </c>
      <c r="W15">
        <v>2.9925537109375</v>
      </c>
      <c r="X15">
        <f t="shared" si="10"/>
        <v>11.587628339591394</v>
      </c>
      <c r="Y15">
        <f t="shared" si="11"/>
        <v>89.821540883538745</v>
      </c>
      <c r="Z15">
        <v>220773.68806074199</v>
      </c>
      <c r="AA15">
        <v>3.15006757023369</v>
      </c>
      <c r="AB15">
        <f t="shared" si="12"/>
        <v>4.217147568321387</v>
      </c>
      <c r="AC15">
        <f t="shared" si="13"/>
        <v>32.681502821904033</v>
      </c>
      <c r="AD15">
        <v>256777.11536984201</v>
      </c>
      <c r="AE15">
        <v>2.9931640625</v>
      </c>
      <c r="AF15">
        <f t="shared" si="14"/>
        <v>11.590680097403885</v>
      </c>
      <c r="AG15">
        <f t="shared" si="15"/>
        <v>89.823948100984197</v>
      </c>
      <c r="AH15">
        <v>292782.70109893702</v>
      </c>
      <c r="AI15">
        <v>3.15155029296875</v>
      </c>
      <c r="AJ15">
        <f t="shared" si="16"/>
        <v>4.2198941503526459</v>
      </c>
      <c r="AK15">
        <f t="shared" si="17"/>
        <v>32.695828585397265</v>
      </c>
      <c r="AL15">
        <v>328786.16040803702</v>
      </c>
      <c r="AM15">
        <v>2.9925537109375</v>
      </c>
      <c r="AN15">
        <f t="shared" si="18"/>
        <v>11.593426679435135</v>
      </c>
      <c r="AO15">
        <f t="shared" si="19"/>
        <v>89.826113623372692</v>
      </c>
    </row>
    <row r="16" spans="1:41" x14ac:dyDescent="0.15">
      <c r="A16" s="1">
        <v>14</v>
      </c>
      <c r="B16">
        <v>5111.0341308635598</v>
      </c>
      <c r="C16">
        <v>3.15986093848643</v>
      </c>
      <c r="D16">
        <f t="shared" si="0"/>
        <v>4.4637237108964518</v>
      </c>
      <c r="E16">
        <f t="shared" si="1"/>
        <v>34.206499472238278</v>
      </c>
      <c r="F16">
        <v>41114.729529962897</v>
      </c>
      <c r="G16">
        <v>2.98187255859375</v>
      </c>
      <c r="H16">
        <f t="shared" si="2"/>
        <v>11.635241650141408</v>
      </c>
      <c r="I16">
        <f t="shared" si="3"/>
        <v>89.163423442486362</v>
      </c>
      <c r="J16">
        <v>77119.763262059103</v>
      </c>
      <c r="K16">
        <v>3.14490732520514</v>
      </c>
      <c r="L16">
        <f t="shared" si="4"/>
        <v>4.3120513476152214</v>
      </c>
      <c r="M16">
        <f t="shared" si="5"/>
        <v>33.432789599196624</v>
      </c>
      <c r="N16">
        <v>113123.14456915901</v>
      </c>
      <c r="O16">
        <v>2.98736572265625</v>
      </c>
      <c r="P16">
        <f t="shared" si="6"/>
        <v>11.483569286860192</v>
      </c>
      <c r="Q16">
        <f t="shared" si="7"/>
        <v>89.035988875161337</v>
      </c>
      <c r="R16">
        <v>149128.52428825499</v>
      </c>
      <c r="S16">
        <v>3.14925068556642</v>
      </c>
      <c r="T16">
        <f t="shared" si="8"/>
        <v>4.3151031054277782</v>
      </c>
      <c r="U16">
        <f t="shared" si="9"/>
        <v>33.448536546222492</v>
      </c>
      <c r="V16">
        <v>185131.91559635499</v>
      </c>
      <c r="W16">
        <v>2.9880469736425801</v>
      </c>
      <c r="X16">
        <f t="shared" si="10"/>
        <v>11.486621044672511</v>
      </c>
      <c r="Y16">
        <f t="shared" si="11"/>
        <v>89.038582489965336</v>
      </c>
      <c r="Z16">
        <v>221137.31432244999</v>
      </c>
      <c r="AA16">
        <v>3.15323954880858</v>
      </c>
      <c r="AB16">
        <f t="shared" si="12"/>
        <v>4.3181548632402782</v>
      </c>
      <c r="AC16">
        <f t="shared" si="13"/>
        <v>33.464276044904764</v>
      </c>
      <c r="AD16">
        <v>257140.74163154999</v>
      </c>
      <c r="AE16">
        <v>2.9888916015625</v>
      </c>
      <c r="AF16">
        <f t="shared" si="14"/>
        <v>11.489672802485003</v>
      </c>
      <c r="AG16">
        <f t="shared" si="15"/>
        <v>89.041174877983536</v>
      </c>
      <c r="AH16">
        <v>293146.32736064499</v>
      </c>
      <c r="AI16">
        <v>3.1546729502050801</v>
      </c>
      <c r="AJ16">
        <f t="shared" si="16"/>
        <v>4.3209014452715282</v>
      </c>
      <c r="AK16">
        <f t="shared" si="17"/>
        <v>33.478435229752655</v>
      </c>
      <c r="AL16">
        <v>329149.78666974499</v>
      </c>
      <c r="AM16">
        <v>2.98828125</v>
      </c>
      <c r="AN16">
        <f t="shared" si="18"/>
        <v>11.492419384516253</v>
      </c>
      <c r="AO16">
        <f t="shared" si="19"/>
        <v>89.043506979017309</v>
      </c>
    </row>
    <row r="17" spans="1:41" x14ac:dyDescent="0.15">
      <c r="A17" s="1">
        <v>15</v>
      </c>
      <c r="B17">
        <v>5474.66039257175</v>
      </c>
      <c r="C17">
        <v>3.15948486328125</v>
      </c>
      <c r="D17">
        <f t="shared" si="0"/>
        <v>4.5647310058153936</v>
      </c>
      <c r="E17">
        <f t="shared" si="1"/>
        <v>34.980540654917817</v>
      </c>
      <c r="F17">
        <v>41478.3557916711</v>
      </c>
      <c r="G17">
        <v>2.9779052734375</v>
      </c>
      <c r="H17">
        <f t="shared" si="2"/>
        <v>11.534234355222463</v>
      </c>
      <c r="I17">
        <f t="shared" si="3"/>
        <v>88.389382259806794</v>
      </c>
      <c r="J17">
        <v>77483.389523767299</v>
      </c>
      <c r="K17">
        <v>3.1473980527936001</v>
      </c>
      <c r="L17">
        <f t="shared" si="4"/>
        <v>4.4130586425341649</v>
      </c>
      <c r="M17">
        <f t="shared" si="5"/>
        <v>34.215933250970778</v>
      </c>
      <c r="N17">
        <v>113486.770830867</v>
      </c>
      <c r="O17">
        <v>2.9833984375</v>
      </c>
      <c r="P17">
        <f t="shared" si="6"/>
        <v>11.382561991941305</v>
      </c>
      <c r="Q17">
        <f t="shared" si="7"/>
        <v>88.252845223387624</v>
      </c>
      <c r="R17">
        <v>149492.150549963</v>
      </c>
      <c r="S17">
        <v>3.15185546875</v>
      </c>
      <c r="T17">
        <f t="shared" si="8"/>
        <v>4.4161104003466694</v>
      </c>
      <c r="U17">
        <f t="shared" si="9"/>
        <v>34.231494939795951</v>
      </c>
      <c r="V17">
        <v>185495.54185806299</v>
      </c>
      <c r="W17">
        <v>2.98431396484375</v>
      </c>
      <c r="X17">
        <f t="shared" si="10"/>
        <v>11.38561374975362</v>
      </c>
      <c r="Y17">
        <f t="shared" si="11"/>
        <v>88.25562409639187</v>
      </c>
      <c r="Z17">
        <v>221500.940584158</v>
      </c>
      <c r="AA17">
        <v>3.1550921815813999</v>
      </c>
      <c r="AB17">
        <f t="shared" si="12"/>
        <v>4.4191621581591694</v>
      </c>
      <c r="AC17">
        <f t="shared" si="13"/>
        <v>34.247049267905503</v>
      </c>
      <c r="AD17">
        <v>257504.36789325799</v>
      </c>
      <c r="AE17">
        <v>2.98492431640625</v>
      </c>
      <c r="AF17">
        <f t="shared" si="14"/>
        <v>11.388665507566111</v>
      </c>
      <c r="AG17">
        <f t="shared" si="15"/>
        <v>88.258401654982805</v>
      </c>
      <c r="AH17">
        <v>293509.95362235297</v>
      </c>
      <c r="AI17">
        <v>3.1569232362689101</v>
      </c>
      <c r="AJ17">
        <f t="shared" si="16"/>
        <v>4.4219087401904105</v>
      </c>
      <c r="AK17">
        <f t="shared" si="17"/>
        <v>34.261041874108052</v>
      </c>
      <c r="AL17">
        <v>329513.41293145297</v>
      </c>
      <c r="AM17">
        <v>2.98431396484375</v>
      </c>
      <c r="AN17">
        <f t="shared" si="18"/>
        <v>11.39141208959737</v>
      </c>
      <c r="AO17">
        <f t="shared" si="19"/>
        <v>88.260900334661912</v>
      </c>
    </row>
    <row r="18" spans="1:41" x14ac:dyDescent="0.15">
      <c r="A18" s="1">
        <v>16</v>
      </c>
      <c r="B18">
        <v>5838.2866542799502</v>
      </c>
      <c r="C18">
        <v>3.1591858526672998</v>
      </c>
      <c r="D18">
        <f t="shared" si="0"/>
        <v>4.665738300734338</v>
      </c>
      <c r="E18">
        <f t="shared" si="1"/>
        <v>35.754581837597385</v>
      </c>
      <c r="F18">
        <v>41841.982053379303</v>
      </c>
      <c r="G18">
        <v>2.9742431640625</v>
      </c>
      <c r="H18">
        <f t="shared" si="2"/>
        <v>11.433227060303517</v>
      </c>
      <c r="I18">
        <f t="shared" si="3"/>
        <v>87.615341077127226</v>
      </c>
      <c r="J18">
        <v>77847.015785475494</v>
      </c>
      <c r="K18">
        <v>3.1488037109375</v>
      </c>
      <c r="L18">
        <f t="shared" si="4"/>
        <v>4.5140659374531076</v>
      </c>
      <c r="M18">
        <f t="shared" si="5"/>
        <v>34.999076902744932</v>
      </c>
      <c r="N18">
        <v>113850.397092575</v>
      </c>
      <c r="O18">
        <v>2.979736328125</v>
      </c>
      <c r="P18">
        <f t="shared" si="6"/>
        <v>11.281554697022413</v>
      </c>
      <c r="Q18">
        <f t="shared" si="7"/>
        <v>87.469701571613868</v>
      </c>
      <c r="R18">
        <v>149855.77681167101</v>
      </c>
      <c r="S18">
        <v>3.1533751824889702</v>
      </c>
      <c r="T18">
        <f t="shared" si="8"/>
        <v>4.5171176952655596</v>
      </c>
      <c r="U18">
        <f t="shared" si="9"/>
        <v>35.01445333336941</v>
      </c>
      <c r="V18">
        <v>185859.168119771</v>
      </c>
      <c r="W18">
        <v>2.98065185546875</v>
      </c>
      <c r="X18">
        <f t="shared" si="10"/>
        <v>11.28460645483473</v>
      </c>
      <c r="Y18">
        <f t="shared" si="11"/>
        <v>87.472665702818418</v>
      </c>
      <c r="Z18">
        <v>221864.56684586601</v>
      </c>
      <c r="AA18">
        <v>3.1558474145753501</v>
      </c>
      <c r="AB18">
        <f t="shared" si="12"/>
        <v>4.5201694530780596</v>
      </c>
      <c r="AC18">
        <f t="shared" si="13"/>
        <v>35.02982249090622</v>
      </c>
      <c r="AD18">
        <v>257867.994154966</v>
      </c>
      <c r="AE18">
        <v>2.9815673828125</v>
      </c>
      <c r="AF18">
        <f t="shared" si="14"/>
        <v>11.287658212647221</v>
      </c>
      <c r="AG18">
        <f t="shared" si="15"/>
        <v>87.475628431982074</v>
      </c>
      <c r="AH18">
        <v>293873.57988406101</v>
      </c>
      <c r="AI18">
        <v>3.1585755011047798</v>
      </c>
      <c r="AJ18">
        <f t="shared" si="16"/>
        <v>4.5229160351093096</v>
      </c>
      <c r="AK18">
        <f t="shared" si="17"/>
        <v>35.043648518463577</v>
      </c>
      <c r="AL18">
        <v>329877.03919316101</v>
      </c>
      <c r="AM18">
        <v>2.98095703125</v>
      </c>
      <c r="AN18">
        <f t="shared" si="18"/>
        <v>11.290404794678471</v>
      </c>
      <c r="AO18">
        <f t="shared" si="19"/>
        <v>87.478293690306373</v>
      </c>
    </row>
    <row r="19" spans="1:41" x14ac:dyDescent="0.15">
      <c r="A19" s="1">
        <v>17</v>
      </c>
      <c r="B19">
        <v>6201.9129159881404</v>
      </c>
      <c r="C19">
        <v>3.15887451171875</v>
      </c>
      <c r="D19">
        <f t="shared" si="0"/>
        <v>4.7667455956532798</v>
      </c>
      <c r="E19">
        <f t="shared" si="1"/>
        <v>36.528623020276925</v>
      </c>
      <c r="F19">
        <v>42205.608315087498</v>
      </c>
      <c r="G19">
        <v>2.97149658203125</v>
      </c>
      <c r="H19">
        <f t="shared" si="2"/>
        <v>11.332219765384576</v>
      </c>
      <c r="I19">
        <f t="shared" si="3"/>
        <v>86.841299894447687</v>
      </c>
      <c r="J19">
        <v>78210.642047183705</v>
      </c>
      <c r="K19">
        <v>3.1501323044901799</v>
      </c>
      <c r="L19">
        <f t="shared" si="4"/>
        <v>4.6150732323720556</v>
      </c>
      <c r="M19">
        <f t="shared" si="5"/>
        <v>35.782220554519114</v>
      </c>
      <c r="N19">
        <v>114214.023354283</v>
      </c>
      <c r="O19">
        <v>2.9766845703125</v>
      </c>
      <c r="P19">
        <f t="shared" si="6"/>
        <v>11.180547402103526</v>
      </c>
      <c r="Q19">
        <f t="shared" si="7"/>
        <v>86.686557919840155</v>
      </c>
      <c r="R19">
        <v>150219.40307337901</v>
      </c>
      <c r="S19">
        <v>3.154296875</v>
      </c>
      <c r="T19">
        <f t="shared" si="8"/>
        <v>4.6181249901844499</v>
      </c>
      <c r="U19">
        <f t="shared" si="9"/>
        <v>35.797411726942869</v>
      </c>
      <c r="V19">
        <v>186222.79438147901</v>
      </c>
      <c r="W19">
        <v>2.97760009765625</v>
      </c>
      <c r="X19">
        <f t="shared" si="10"/>
        <v>11.183599159915838</v>
      </c>
      <c r="Y19">
        <f t="shared" si="11"/>
        <v>86.689707309244952</v>
      </c>
      <c r="Z19">
        <v>222228.19310757401</v>
      </c>
      <c r="AA19">
        <v>3.1580483793008698</v>
      </c>
      <c r="AB19">
        <f t="shared" si="12"/>
        <v>4.6211767479969499</v>
      </c>
      <c r="AC19">
        <f t="shared" si="13"/>
        <v>35.812595713906944</v>
      </c>
      <c r="AD19">
        <v>258231.62041667401</v>
      </c>
      <c r="AE19">
        <v>2.978515625</v>
      </c>
      <c r="AF19">
        <f t="shared" si="14"/>
        <v>11.186650917728331</v>
      </c>
      <c r="AG19">
        <f t="shared" si="15"/>
        <v>86.692855208981342</v>
      </c>
      <c r="AH19">
        <v>294237.20614576899</v>
      </c>
      <c r="AI19">
        <v>3.1595927537089401</v>
      </c>
      <c r="AJ19">
        <f t="shared" si="16"/>
        <v>4.6239233300281919</v>
      </c>
      <c r="AK19">
        <f t="shared" si="17"/>
        <v>35.826255162818974</v>
      </c>
      <c r="AL19">
        <v>330240.66545486898</v>
      </c>
      <c r="AM19">
        <v>2.9779052734375</v>
      </c>
      <c r="AN19">
        <f t="shared" si="18"/>
        <v>11.189397499759588</v>
      </c>
      <c r="AO19">
        <f t="shared" si="19"/>
        <v>86.695687045950976</v>
      </c>
    </row>
    <row r="20" spans="1:41" x14ac:dyDescent="0.15">
      <c r="A20" s="1">
        <v>18</v>
      </c>
      <c r="B20">
        <v>6565.5391776963397</v>
      </c>
      <c r="C20">
        <v>3.1586525656960198</v>
      </c>
      <c r="D20">
        <f t="shared" si="0"/>
        <v>4.8677528905722243</v>
      </c>
      <c r="E20">
        <f t="shared" si="1"/>
        <v>37.302664202956478</v>
      </c>
      <c r="F20">
        <v>42569.234576795701</v>
      </c>
      <c r="G20">
        <v>2.96905517578125</v>
      </c>
      <c r="H20">
        <f t="shared" si="2"/>
        <v>11.23121247046563</v>
      </c>
      <c r="I20">
        <f t="shared" si="3"/>
        <v>86.067258711768119</v>
      </c>
      <c r="J20">
        <v>78574.2683088919</v>
      </c>
      <c r="K20">
        <v>3.1508567116476902</v>
      </c>
      <c r="L20">
        <f t="shared" si="4"/>
        <v>4.7160805272909982</v>
      </c>
      <c r="M20">
        <f t="shared" si="5"/>
        <v>36.565364206293268</v>
      </c>
      <c r="N20">
        <v>114577.64961599201</v>
      </c>
      <c r="O20">
        <v>2.9738547585228101</v>
      </c>
      <c r="P20">
        <f t="shared" si="6"/>
        <v>11.079540107184357</v>
      </c>
      <c r="Q20">
        <f t="shared" si="7"/>
        <v>85.903414268064253</v>
      </c>
      <c r="R20">
        <v>150583.02933508699</v>
      </c>
      <c r="S20">
        <v>3.1556008078836002</v>
      </c>
      <c r="T20">
        <f t="shared" si="8"/>
        <v>4.719132285103333</v>
      </c>
      <c r="U20">
        <f t="shared" si="9"/>
        <v>36.580370120516278</v>
      </c>
      <c r="V20">
        <v>186586.42064318701</v>
      </c>
      <c r="W20">
        <v>2.974853515625</v>
      </c>
      <c r="X20">
        <f t="shared" si="10"/>
        <v>11.082591864996948</v>
      </c>
      <c r="Y20">
        <f t="shared" si="11"/>
        <v>85.906748915671486</v>
      </c>
      <c r="Z20">
        <v>222591.81936928199</v>
      </c>
      <c r="AA20">
        <v>3.1590964577413998</v>
      </c>
      <c r="AB20">
        <f t="shared" si="12"/>
        <v>4.722184042915833</v>
      </c>
      <c r="AC20">
        <f t="shared" si="13"/>
        <v>36.595368936907619</v>
      </c>
      <c r="AD20">
        <v>258595.24667838201</v>
      </c>
      <c r="AE20">
        <v>2.97576904296875</v>
      </c>
      <c r="AF20">
        <f t="shared" si="14"/>
        <v>11.085643622809441</v>
      </c>
      <c r="AG20">
        <f t="shared" si="15"/>
        <v>85.910081985980625</v>
      </c>
      <c r="AH20">
        <v>294600.83240747702</v>
      </c>
      <c r="AI20">
        <v>3.1597900390625</v>
      </c>
      <c r="AJ20">
        <f t="shared" si="16"/>
        <v>4.724930624947091</v>
      </c>
      <c r="AK20">
        <f t="shared" si="17"/>
        <v>36.608861807174499</v>
      </c>
      <c r="AL20">
        <v>330604.29171657702</v>
      </c>
      <c r="AM20">
        <v>2.97515869140625</v>
      </c>
      <c r="AN20">
        <f t="shared" si="18"/>
        <v>11.088390204840691</v>
      </c>
      <c r="AO20">
        <f t="shared" si="19"/>
        <v>85.913080401595465</v>
      </c>
    </row>
    <row r="21" spans="1:41" x14ac:dyDescent="0.15">
      <c r="A21" s="1">
        <v>19</v>
      </c>
      <c r="B21">
        <v>6929.1654394045299</v>
      </c>
      <c r="C21">
        <v>3.1585385101010099</v>
      </c>
      <c r="D21">
        <f t="shared" si="0"/>
        <v>4.968760185491166</v>
      </c>
      <c r="E21">
        <f t="shared" si="1"/>
        <v>38.076705385636025</v>
      </c>
      <c r="F21">
        <v>42932.860838503897</v>
      </c>
      <c r="G21">
        <v>2.9669189453125</v>
      </c>
      <c r="H21">
        <f t="shared" si="2"/>
        <v>11.130205175546687</v>
      </c>
      <c r="I21">
        <f t="shared" si="3"/>
        <v>85.293217529088565</v>
      </c>
      <c r="J21">
        <v>78937.894570600096</v>
      </c>
      <c r="K21">
        <v>3.1523733428031502</v>
      </c>
      <c r="L21">
        <f t="shared" si="4"/>
        <v>4.8170878222099418</v>
      </c>
      <c r="M21">
        <f t="shared" si="5"/>
        <v>37.348507858067414</v>
      </c>
      <c r="N21">
        <v>114941.2758777</v>
      </c>
      <c r="O21">
        <v>2.97119140625</v>
      </c>
      <c r="P21">
        <f t="shared" si="6"/>
        <v>10.97853281226547</v>
      </c>
      <c r="Q21">
        <f t="shared" si="7"/>
        <v>85.12027061629054</v>
      </c>
      <c r="R21">
        <v>150946.65559679599</v>
      </c>
      <c r="S21">
        <v>3.1558844055790201</v>
      </c>
      <c r="T21">
        <f t="shared" si="8"/>
        <v>4.8201395800224986</v>
      </c>
      <c r="U21">
        <f t="shared" si="9"/>
        <v>37.363328514091862</v>
      </c>
      <c r="V21">
        <v>186950.04690489601</v>
      </c>
      <c r="W21">
        <v>2.97210693359375</v>
      </c>
      <c r="X21">
        <f t="shared" si="10"/>
        <v>10.981584570077782</v>
      </c>
      <c r="Y21">
        <f t="shared" si="11"/>
        <v>85.123790522095902</v>
      </c>
      <c r="Z21">
        <v>222955.44563099099</v>
      </c>
      <c r="AA21">
        <v>3.1598208648988901</v>
      </c>
      <c r="AB21">
        <f t="shared" si="12"/>
        <v>4.8231913378349986</v>
      </c>
      <c r="AC21">
        <f t="shared" si="13"/>
        <v>37.378142159910475</v>
      </c>
      <c r="AD21">
        <v>258958.87294009101</v>
      </c>
      <c r="AE21">
        <v>2.97332763671875</v>
      </c>
      <c r="AF21">
        <f t="shared" si="14"/>
        <v>10.984636327890275</v>
      </c>
      <c r="AG21">
        <f t="shared" si="15"/>
        <v>85.127308762977762</v>
      </c>
      <c r="AH21">
        <v>294964.45866918599</v>
      </c>
      <c r="AI21">
        <v>3.1610107421875</v>
      </c>
      <c r="AJ21">
        <f t="shared" si="16"/>
        <v>4.8259379198662486</v>
      </c>
      <c r="AK21">
        <f t="shared" si="17"/>
        <v>37.39146845153202</v>
      </c>
      <c r="AL21">
        <v>330967.91797828599</v>
      </c>
      <c r="AM21">
        <v>2.972412109375</v>
      </c>
      <c r="AN21">
        <f t="shared" si="18"/>
        <v>10.987382909921532</v>
      </c>
      <c r="AO21">
        <f t="shared" si="19"/>
        <v>85.130473757237937</v>
      </c>
    </row>
    <row r="22" spans="1:41" x14ac:dyDescent="0.15">
      <c r="A22" s="1">
        <v>20</v>
      </c>
      <c r="B22">
        <v>7292.7917011127302</v>
      </c>
      <c r="C22">
        <v>3.15887451171875</v>
      </c>
      <c r="D22">
        <f t="shared" si="0"/>
        <v>5.0697674804101105</v>
      </c>
      <c r="E22">
        <f t="shared" si="1"/>
        <v>38.850746568315586</v>
      </c>
      <c r="F22">
        <v>43296.4871002121</v>
      </c>
      <c r="G22">
        <v>2.965087890625</v>
      </c>
      <c r="H22">
        <f t="shared" si="2"/>
        <v>11.029197880627741</v>
      </c>
      <c r="I22">
        <f t="shared" si="3"/>
        <v>84.519176346408997</v>
      </c>
      <c r="J22">
        <v>79301.520832308306</v>
      </c>
      <c r="K22">
        <v>3.15277099609375</v>
      </c>
      <c r="L22">
        <f t="shared" si="4"/>
        <v>4.9180951171288889</v>
      </c>
      <c r="M22">
        <f t="shared" si="5"/>
        <v>38.131651509841596</v>
      </c>
      <c r="N22">
        <v>115304.902139408</v>
      </c>
      <c r="O22">
        <v>2.96905517578125</v>
      </c>
      <c r="P22">
        <f t="shared" si="6"/>
        <v>10.87752551734658</v>
      </c>
      <c r="Q22">
        <f t="shared" si="7"/>
        <v>84.337126964516798</v>
      </c>
      <c r="R22">
        <v>151310.28185850399</v>
      </c>
      <c r="S22">
        <v>3.15688316268146</v>
      </c>
      <c r="T22">
        <f t="shared" si="8"/>
        <v>4.9211468749413889</v>
      </c>
      <c r="U22">
        <f t="shared" si="9"/>
        <v>38.146286907665321</v>
      </c>
      <c r="V22">
        <v>187313.67316660401</v>
      </c>
      <c r="W22">
        <v>2.969970703125</v>
      </c>
      <c r="X22">
        <f t="shared" si="10"/>
        <v>10.880577275158892</v>
      </c>
      <c r="Y22">
        <f t="shared" si="11"/>
        <v>84.340832128522436</v>
      </c>
      <c r="Z22">
        <v>223319.07189269899</v>
      </c>
      <c r="AA22">
        <v>3.16024009627521</v>
      </c>
      <c r="AB22">
        <f t="shared" si="12"/>
        <v>4.9241986327538889</v>
      </c>
      <c r="AC22">
        <f t="shared" si="13"/>
        <v>38.160915382911206</v>
      </c>
      <c r="AD22">
        <v>259322.49920179899</v>
      </c>
      <c r="AE22">
        <v>2.97119140625</v>
      </c>
      <c r="AF22">
        <f t="shared" si="14"/>
        <v>10.883629032971392</v>
      </c>
      <c r="AG22">
        <f t="shared" si="15"/>
        <v>84.344535539977102</v>
      </c>
      <c r="AH22">
        <v>295328.08493089402</v>
      </c>
      <c r="AI22">
        <v>3.1614607994002002</v>
      </c>
      <c r="AJ22">
        <f t="shared" si="16"/>
        <v>4.9269452147851478</v>
      </c>
      <c r="AK22">
        <f t="shared" si="17"/>
        <v>38.174075095887552</v>
      </c>
      <c r="AL22">
        <v>331331.54423999402</v>
      </c>
      <c r="AM22">
        <v>2.97027587890625</v>
      </c>
      <c r="AN22">
        <f t="shared" si="18"/>
        <v>10.886375615002633</v>
      </c>
      <c r="AO22">
        <f t="shared" si="19"/>
        <v>84.347867112882398</v>
      </c>
    </row>
    <row r="23" spans="1:41" x14ac:dyDescent="0.15">
      <c r="A23" s="1">
        <v>21</v>
      </c>
      <c r="B23">
        <v>7656.4179628209204</v>
      </c>
      <c r="C23">
        <v>3.1587357954545499</v>
      </c>
      <c r="D23">
        <f t="shared" si="0"/>
        <v>5.1707747753290523</v>
      </c>
      <c r="E23">
        <f t="shared" si="1"/>
        <v>39.624787750995125</v>
      </c>
      <c r="F23">
        <v>43660.113361920303</v>
      </c>
      <c r="G23">
        <v>2.9638671875</v>
      </c>
      <c r="H23">
        <f t="shared" si="2"/>
        <v>10.928190585708796</v>
      </c>
      <c r="I23">
        <f t="shared" si="3"/>
        <v>83.745135163729429</v>
      </c>
      <c r="J23">
        <v>79665.147094016502</v>
      </c>
      <c r="K23">
        <v>3.1531224106297802</v>
      </c>
      <c r="L23">
        <f t="shared" si="4"/>
        <v>5.0191024120478325</v>
      </c>
      <c r="M23">
        <f t="shared" si="5"/>
        <v>38.91479516161575</v>
      </c>
      <c r="N23">
        <v>115668.528401116</v>
      </c>
      <c r="O23">
        <v>2.96722412109375</v>
      </c>
      <c r="P23">
        <f t="shared" si="6"/>
        <v>10.776518222427693</v>
      </c>
      <c r="Q23">
        <f t="shared" si="7"/>
        <v>83.553983312743085</v>
      </c>
      <c r="R23">
        <v>151673.908120212</v>
      </c>
      <c r="S23">
        <v>3.1574411103219502</v>
      </c>
      <c r="T23">
        <f t="shared" si="8"/>
        <v>5.0221541698602792</v>
      </c>
      <c r="U23">
        <f t="shared" si="9"/>
        <v>38.92924530123878</v>
      </c>
      <c r="V23">
        <v>187677.29942831199</v>
      </c>
      <c r="W23">
        <v>2.9681396484375</v>
      </c>
      <c r="X23">
        <f t="shared" si="10"/>
        <v>10.779569980240009</v>
      </c>
      <c r="Y23">
        <f t="shared" si="11"/>
        <v>83.557873734949027</v>
      </c>
      <c r="Z23">
        <v>223682.698154407</v>
      </c>
      <c r="AA23">
        <v>3.16070556640625</v>
      </c>
      <c r="AB23">
        <f t="shared" si="12"/>
        <v>5.0252059276727792</v>
      </c>
      <c r="AC23">
        <f t="shared" si="13"/>
        <v>38.94368860591193</v>
      </c>
      <c r="AD23">
        <v>259686.12546350699</v>
      </c>
      <c r="AE23">
        <v>2.96905517578125</v>
      </c>
      <c r="AF23">
        <f t="shared" si="14"/>
        <v>10.782621738052502</v>
      </c>
      <c r="AG23">
        <f t="shared" si="15"/>
        <v>83.561762316976356</v>
      </c>
      <c r="AH23">
        <v>295691.711192602</v>
      </c>
      <c r="AI23">
        <v>3.16192626953125</v>
      </c>
      <c r="AJ23">
        <f t="shared" si="16"/>
        <v>5.0279525097040292</v>
      </c>
      <c r="AK23">
        <f t="shared" si="17"/>
        <v>38.956681740242935</v>
      </c>
      <c r="AL23">
        <v>331695.170501702</v>
      </c>
      <c r="AM23">
        <v>2.9681396484375</v>
      </c>
      <c r="AN23">
        <f t="shared" si="18"/>
        <v>10.785368320083752</v>
      </c>
      <c r="AO23">
        <f t="shared" si="19"/>
        <v>83.565260468527029</v>
      </c>
    </row>
    <row r="24" spans="1:41" x14ac:dyDescent="0.15">
      <c r="A24" s="1">
        <v>22</v>
      </c>
      <c r="B24">
        <v>8020.0442245291097</v>
      </c>
      <c r="C24">
        <v>3.157958984375</v>
      </c>
      <c r="D24">
        <f t="shared" si="0"/>
        <v>5.2717820702479941</v>
      </c>
      <c r="E24">
        <f t="shared" si="1"/>
        <v>40.398828933674665</v>
      </c>
      <c r="F24">
        <v>44023.739623628499</v>
      </c>
      <c r="G24">
        <v>2.96295166015625</v>
      </c>
      <c r="H24">
        <f t="shared" si="2"/>
        <v>10.827183290789852</v>
      </c>
      <c r="I24">
        <f t="shared" si="3"/>
        <v>82.971093981049876</v>
      </c>
      <c r="J24">
        <v>80028.773355724697</v>
      </c>
      <c r="K24">
        <v>3.1537543402777302</v>
      </c>
      <c r="L24">
        <f t="shared" si="4"/>
        <v>5.120109706966776</v>
      </c>
      <c r="M24">
        <f t="shared" si="5"/>
        <v>39.697938813389904</v>
      </c>
      <c r="N24">
        <v>116032.154662824</v>
      </c>
      <c r="O24">
        <v>2.9656982421875</v>
      </c>
      <c r="P24">
        <f t="shared" si="6"/>
        <v>10.675510927508803</v>
      </c>
      <c r="Q24">
        <f t="shared" si="7"/>
        <v>82.770839660969344</v>
      </c>
      <c r="R24">
        <v>152037.53438192001</v>
      </c>
      <c r="S24">
        <v>3.1581963433159701</v>
      </c>
      <c r="T24">
        <f t="shared" si="8"/>
        <v>5.1231614647791703</v>
      </c>
      <c r="U24">
        <f t="shared" si="9"/>
        <v>39.712203694812246</v>
      </c>
      <c r="V24">
        <v>188040.92569002</v>
      </c>
      <c r="W24">
        <v>2.96630859375</v>
      </c>
      <c r="X24">
        <f t="shared" si="10"/>
        <v>10.678562685321118</v>
      </c>
      <c r="Y24">
        <f t="shared" si="11"/>
        <v>82.774915341375575</v>
      </c>
      <c r="Z24">
        <v>224046.32441611501</v>
      </c>
      <c r="AA24">
        <v>3.1614515516493098</v>
      </c>
      <c r="AB24">
        <f t="shared" si="12"/>
        <v>5.1262132225916703</v>
      </c>
      <c r="AC24">
        <f t="shared" si="13"/>
        <v>39.726461828912662</v>
      </c>
      <c r="AD24">
        <v>260049.751725215</v>
      </c>
      <c r="AE24">
        <v>2.967529296875</v>
      </c>
      <c r="AF24">
        <f t="shared" si="14"/>
        <v>10.681614443133611</v>
      </c>
      <c r="AG24">
        <f t="shared" si="15"/>
        <v>82.778989093975639</v>
      </c>
      <c r="AH24">
        <v>296055.33745430998</v>
      </c>
      <c r="AI24">
        <v>3.1618584526909701</v>
      </c>
      <c r="AJ24">
        <f t="shared" si="16"/>
        <v>5.1289598046229123</v>
      </c>
      <c r="AK24">
        <f t="shared" si="17"/>
        <v>39.739288384598339</v>
      </c>
      <c r="AL24">
        <v>332058.79676340998</v>
      </c>
      <c r="AM24">
        <v>2.96661376953125</v>
      </c>
      <c r="AN24">
        <f t="shared" si="18"/>
        <v>10.684361025164868</v>
      </c>
      <c r="AO24">
        <f t="shared" si="19"/>
        <v>82.782653824171618</v>
      </c>
    </row>
    <row r="25" spans="1:41" x14ac:dyDescent="0.15">
      <c r="A25" s="1">
        <v>23</v>
      </c>
      <c r="B25">
        <v>8383.6704862373099</v>
      </c>
      <c r="C25">
        <v>3.15759523950442</v>
      </c>
      <c r="D25">
        <f t="shared" si="0"/>
        <v>5.3727893651669385</v>
      </c>
      <c r="E25">
        <f t="shared" si="1"/>
        <v>41.172870116354225</v>
      </c>
      <c r="F25">
        <v>44387.365885336701</v>
      </c>
      <c r="G25">
        <v>2.9620361328125</v>
      </c>
      <c r="H25">
        <f t="shared" si="2"/>
        <v>10.726175995870907</v>
      </c>
      <c r="I25">
        <f t="shared" si="3"/>
        <v>82.197052798370308</v>
      </c>
      <c r="J25">
        <v>80392.399617432893</v>
      </c>
      <c r="K25">
        <v>3.1544787474352498</v>
      </c>
      <c r="L25">
        <f t="shared" si="4"/>
        <v>5.2211170018857187</v>
      </c>
      <c r="M25">
        <f t="shared" si="5"/>
        <v>40.48108246516405</v>
      </c>
      <c r="N25">
        <v>116395.780924533</v>
      </c>
      <c r="O25">
        <v>2.9644775390625</v>
      </c>
      <c r="P25">
        <f t="shared" si="6"/>
        <v>10.574503632589638</v>
      </c>
      <c r="Q25">
        <f t="shared" si="7"/>
        <v>81.987696009193471</v>
      </c>
      <c r="R25">
        <v>152401.16064362801</v>
      </c>
      <c r="S25">
        <v>3.1587512083727298</v>
      </c>
      <c r="T25">
        <f t="shared" si="8"/>
        <v>5.2241687596980615</v>
      </c>
      <c r="U25">
        <f t="shared" si="9"/>
        <v>40.495162088385712</v>
      </c>
      <c r="V25">
        <v>188404.551951728</v>
      </c>
      <c r="W25">
        <v>2.965087890625</v>
      </c>
      <c r="X25">
        <f t="shared" si="10"/>
        <v>10.577555390402228</v>
      </c>
      <c r="Y25">
        <f t="shared" si="11"/>
        <v>81.991956947802109</v>
      </c>
      <c r="Z25">
        <v>224409.95067782301</v>
      </c>
      <c r="AA25">
        <v>3.16162109375</v>
      </c>
      <c r="AB25">
        <f t="shared" si="12"/>
        <v>5.2272205175105615</v>
      </c>
      <c r="AC25">
        <f t="shared" si="13"/>
        <v>40.509235051913393</v>
      </c>
      <c r="AD25">
        <v>260413.37798692301</v>
      </c>
      <c r="AE25">
        <v>2.96600341796875</v>
      </c>
      <c r="AF25">
        <f t="shared" si="14"/>
        <v>10.580607148214719</v>
      </c>
      <c r="AG25">
        <f t="shared" si="15"/>
        <v>81.996215870974893</v>
      </c>
      <c r="AH25">
        <v>296418.96371601801</v>
      </c>
      <c r="AI25">
        <v>3.1629003659642101</v>
      </c>
      <c r="AJ25">
        <f t="shared" si="16"/>
        <v>5.2299670995418115</v>
      </c>
      <c r="AK25">
        <f t="shared" si="17"/>
        <v>40.521895028953864</v>
      </c>
      <c r="AL25">
        <v>332422.42302511801</v>
      </c>
      <c r="AM25">
        <v>2.965087890625</v>
      </c>
      <c r="AN25">
        <f t="shared" si="18"/>
        <v>10.583353730245969</v>
      </c>
      <c r="AO25">
        <f t="shared" si="19"/>
        <v>82.000047179816093</v>
      </c>
    </row>
    <row r="26" spans="1:41" x14ac:dyDescent="0.15">
      <c r="A26" s="1">
        <v>24</v>
      </c>
      <c r="B26">
        <v>8747.2967479455001</v>
      </c>
      <c r="C26">
        <v>3.1582456646543502</v>
      </c>
      <c r="D26">
        <f t="shared" si="0"/>
        <v>5.4737966600858803</v>
      </c>
      <c r="E26">
        <f t="shared" si="1"/>
        <v>41.946911299033765</v>
      </c>
      <c r="F26">
        <v>44750.992147044897</v>
      </c>
      <c r="G26">
        <v>2.96112060546875</v>
      </c>
      <c r="H26">
        <f t="shared" si="2"/>
        <v>10.625168700951964</v>
      </c>
      <c r="I26">
        <f t="shared" si="3"/>
        <v>81.42301161569074</v>
      </c>
      <c r="J26">
        <v>80756.025879141103</v>
      </c>
      <c r="K26">
        <v>3.1543061227509899</v>
      </c>
      <c r="L26">
        <f t="shared" si="4"/>
        <v>5.3221242968046667</v>
      </c>
      <c r="M26">
        <f t="shared" si="5"/>
        <v>41.264226116938232</v>
      </c>
      <c r="N26">
        <v>116759.40718624101</v>
      </c>
      <c r="O26">
        <v>2.96356201171875</v>
      </c>
      <c r="P26">
        <f t="shared" si="6"/>
        <v>10.473496337670746</v>
      </c>
      <c r="Q26">
        <f t="shared" si="7"/>
        <v>81.204552357419715</v>
      </c>
      <c r="R26">
        <v>152764.78690533701</v>
      </c>
      <c r="S26">
        <v>3.1585970791906601</v>
      </c>
      <c r="T26">
        <f t="shared" si="8"/>
        <v>5.3251760546172271</v>
      </c>
      <c r="U26">
        <f t="shared" si="9"/>
        <v>41.278120481961302</v>
      </c>
      <c r="V26">
        <v>188768.178213437</v>
      </c>
      <c r="W26">
        <v>2.9638671875</v>
      </c>
      <c r="X26">
        <f t="shared" si="10"/>
        <v>10.476548095483063</v>
      </c>
      <c r="Y26">
        <f t="shared" si="11"/>
        <v>81.208998554226525</v>
      </c>
      <c r="Z26">
        <v>224773.57693953201</v>
      </c>
      <c r="AA26">
        <v>3.1622221975614502</v>
      </c>
      <c r="AB26">
        <f t="shared" si="12"/>
        <v>5.3282278124297271</v>
      </c>
      <c r="AC26">
        <f t="shared" si="13"/>
        <v>41.292008274916256</v>
      </c>
      <c r="AD26">
        <v>260777.004248632</v>
      </c>
      <c r="AE26">
        <v>2.96478271484375</v>
      </c>
      <c r="AF26">
        <f t="shared" si="14"/>
        <v>10.479599853295554</v>
      </c>
      <c r="AG26">
        <f t="shared" si="15"/>
        <v>81.21344264797203</v>
      </c>
      <c r="AH26">
        <v>296782.58997772698</v>
      </c>
      <c r="AI26">
        <v>3.1628325491239502</v>
      </c>
      <c r="AJ26">
        <f t="shared" si="16"/>
        <v>5.3309743944609682</v>
      </c>
      <c r="AK26">
        <f t="shared" si="17"/>
        <v>41.304501673311385</v>
      </c>
      <c r="AL26">
        <v>332786.04928682698</v>
      </c>
      <c r="AM26">
        <v>2.96356201171875</v>
      </c>
      <c r="AN26">
        <f t="shared" si="18"/>
        <v>10.482346435326813</v>
      </c>
      <c r="AO26">
        <f t="shared" si="19"/>
        <v>81.217440535458579</v>
      </c>
    </row>
    <row r="27" spans="1:41" x14ac:dyDescent="0.15">
      <c r="A27" s="1">
        <v>25</v>
      </c>
      <c r="B27">
        <v>9110.9230096536994</v>
      </c>
      <c r="C27">
        <v>3.1582549124053099</v>
      </c>
      <c r="D27">
        <f t="shared" si="0"/>
        <v>5.5748039550048247</v>
      </c>
      <c r="E27">
        <f t="shared" si="1"/>
        <v>42.720952481713333</v>
      </c>
      <c r="F27">
        <v>45114.6184087531</v>
      </c>
      <c r="G27">
        <v>2.960205078125</v>
      </c>
      <c r="H27">
        <f t="shared" si="2"/>
        <v>10.524161406033018</v>
      </c>
      <c r="I27">
        <f t="shared" si="3"/>
        <v>80.648970433011186</v>
      </c>
      <c r="J27">
        <v>81119.652140849299</v>
      </c>
      <c r="K27">
        <v>3.15449724293723</v>
      </c>
      <c r="L27">
        <f t="shared" si="4"/>
        <v>5.4231315917236094</v>
      </c>
      <c r="M27">
        <f t="shared" si="5"/>
        <v>42.047369768712386</v>
      </c>
      <c r="N27">
        <v>117123.033447949</v>
      </c>
      <c r="O27">
        <v>2.962646484375</v>
      </c>
      <c r="P27">
        <f t="shared" si="6"/>
        <v>10.372489042751859</v>
      </c>
      <c r="Q27">
        <f t="shared" si="7"/>
        <v>80.421408705646002</v>
      </c>
      <c r="R27">
        <v>153128.41316704499</v>
      </c>
      <c r="S27">
        <v>3.15948486328125</v>
      </c>
      <c r="T27">
        <f t="shared" si="8"/>
        <v>5.4261833495361094</v>
      </c>
      <c r="U27">
        <f t="shared" si="9"/>
        <v>42.061078875534704</v>
      </c>
      <c r="V27">
        <v>189131.80447514501</v>
      </c>
      <c r="W27">
        <v>2.96295166015625</v>
      </c>
      <c r="X27">
        <f t="shared" si="10"/>
        <v>10.37554080056417</v>
      </c>
      <c r="Y27">
        <f t="shared" si="11"/>
        <v>80.426040160653059</v>
      </c>
      <c r="Z27">
        <v>225137.20320123999</v>
      </c>
      <c r="AA27">
        <v>3.16252737334298</v>
      </c>
      <c r="AB27">
        <f t="shared" si="12"/>
        <v>5.4292351073486094</v>
      </c>
      <c r="AC27">
        <f t="shared" si="13"/>
        <v>42.074781497916916</v>
      </c>
      <c r="AD27">
        <v>261140.63051034001</v>
      </c>
      <c r="AE27">
        <v>2.96356201171875</v>
      </c>
      <c r="AF27">
        <f t="shared" si="14"/>
        <v>10.378592558376663</v>
      </c>
      <c r="AG27">
        <f t="shared" si="15"/>
        <v>80.430669424971313</v>
      </c>
      <c r="AH27">
        <v>297146.21623943502</v>
      </c>
      <c r="AI27">
        <v>3.1634521484375</v>
      </c>
      <c r="AJ27">
        <f t="shared" si="16"/>
        <v>5.4319816893798674</v>
      </c>
      <c r="AK27">
        <f t="shared" si="17"/>
        <v>42.08710831766691</v>
      </c>
      <c r="AL27">
        <v>333149.67554853501</v>
      </c>
      <c r="AM27">
        <v>2.962646484375</v>
      </c>
      <c r="AN27">
        <f t="shared" si="18"/>
        <v>10.381339140407913</v>
      </c>
      <c r="AO27">
        <f t="shared" si="19"/>
        <v>80.434833891103054</v>
      </c>
    </row>
    <row r="28" spans="1:41" x14ac:dyDescent="0.15">
      <c r="A28" s="1">
        <v>26</v>
      </c>
      <c r="B28">
        <v>9474.5492713618896</v>
      </c>
      <c r="C28">
        <v>3.15765380859375</v>
      </c>
      <c r="D28">
        <f t="shared" si="0"/>
        <v>5.6758112499237665</v>
      </c>
      <c r="E28">
        <f t="shared" si="1"/>
        <v>43.494993664392865</v>
      </c>
      <c r="F28">
        <v>45478.244670461303</v>
      </c>
      <c r="G28">
        <v>2.9595947265625</v>
      </c>
      <c r="H28">
        <f t="shared" si="2"/>
        <v>10.423154111114073</v>
      </c>
      <c r="I28">
        <f t="shared" si="3"/>
        <v>79.874929250331618</v>
      </c>
      <c r="J28">
        <v>81483.278402557495</v>
      </c>
      <c r="K28">
        <v>3.1549935389047201</v>
      </c>
      <c r="L28">
        <f t="shared" si="4"/>
        <v>5.524138886642552</v>
      </c>
      <c r="M28">
        <f t="shared" si="5"/>
        <v>42.830513420486533</v>
      </c>
      <c r="N28">
        <v>117486.659709657</v>
      </c>
      <c r="O28">
        <v>2.9620361328125</v>
      </c>
      <c r="P28">
        <f t="shared" si="6"/>
        <v>10.271481747832969</v>
      </c>
      <c r="Q28">
        <f t="shared" si="7"/>
        <v>79.638265053872274</v>
      </c>
      <c r="R28">
        <v>153492.03942875299</v>
      </c>
      <c r="S28">
        <v>3.1597900390625</v>
      </c>
      <c r="T28">
        <f t="shared" si="8"/>
        <v>5.5271906444550005</v>
      </c>
      <c r="U28">
        <f t="shared" si="9"/>
        <v>42.844037269108163</v>
      </c>
      <c r="V28">
        <v>189495.43073685301</v>
      </c>
      <c r="W28">
        <v>2.9620361328125</v>
      </c>
      <c r="X28">
        <f t="shared" si="10"/>
        <v>10.27453350564528</v>
      </c>
      <c r="Y28">
        <f t="shared" si="11"/>
        <v>79.643081767079593</v>
      </c>
      <c r="Z28">
        <v>225500.82946294799</v>
      </c>
      <c r="AA28">
        <v>3.1624040699968399</v>
      </c>
      <c r="AB28">
        <f t="shared" si="12"/>
        <v>5.5302424022675005</v>
      </c>
      <c r="AC28">
        <f t="shared" si="13"/>
        <v>42.857554720917648</v>
      </c>
      <c r="AD28">
        <v>261504.25677204799</v>
      </c>
      <c r="AE28">
        <v>2.962646484375</v>
      </c>
      <c r="AF28">
        <f t="shared" si="14"/>
        <v>10.27758526345778</v>
      </c>
      <c r="AG28">
        <f t="shared" si="15"/>
        <v>79.647896201970653</v>
      </c>
      <c r="AH28">
        <v>297509.84250114299</v>
      </c>
      <c r="AI28">
        <v>3.1632795237531499</v>
      </c>
      <c r="AJ28">
        <f t="shared" si="16"/>
        <v>5.5329889842987505</v>
      </c>
      <c r="AK28">
        <f t="shared" si="17"/>
        <v>42.869714962022307</v>
      </c>
      <c r="AL28">
        <v>333513.30181024299</v>
      </c>
      <c r="AM28">
        <v>2.96142578125</v>
      </c>
      <c r="AN28">
        <f t="shared" si="18"/>
        <v>10.28033184548903</v>
      </c>
      <c r="AO28">
        <f t="shared" si="19"/>
        <v>79.652227246747643</v>
      </c>
    </row>
    <row r="29" spans="1:41" x14ac:dyDescent="0.15">
      <c r="A29" s="1">
        <v>27</v>
      </c>
      <c r="B29">
        <v>9838.1755330700908</v>
      </c>
      <c r="C29">
        <v>3.15826416015625</v>
      </c>
      <c r="D29">
        <f t="shared" si="0"/>
        <v>5.776818544842711</v>
      </c>
      <c r="E29">
        <f t="shared" si="1"/>
        <v>44.269034847072433</v>
      </c>
      <c r="F29">
        <v>45841.870932169499</v>
      </c>
      <c r="G29">
        <v>2.95867919921875</v>
      </c>
      <c r="H29">
        <f t="shared" si="2"/>
        <v>10.322146816195129</v>
      </c>
      <c r="I29">
        <f t="shared" si="3"/>
        <v>79.10088806765205</v>
      </c>
      <c r="J29">
        <v>81846.904664265705</v>
      </c>
      <c r="K29">
        <v>3.15557306463058</v>
      </c>
      <c r="L29">
        <f t="shared" si="4"/>
        <v>5.6251461815615</v>
      </c>
      <c r="M29">
        <f t="shared" si="5"/>
        <v>43.613657072260722</v>
      </c>
      <c r="N29">
        <v>117850.285971365</v>
      </c>
      <c r="O29">
        <v>2.96142578125</v>
      </c>
      <c r="P29">
        <f t="shared" si="6"/>
        <v>10.170474452914082</v>
      </c>
      <c r="Q29">
        <f t="shared" si="7"/>
        <v>78.855121402098547</v>
      </c>
      <c r="R29">
        <v>153855.665690461</v>
      </c>
      <c r="S29">
        <v>3.1601229580966201</v>
      </c>
      <c r="T29">
        <f t="shared" si="8"/>
        <v>5.6281979393738908</v>
      </c>
      <c r="U29">
        <f t="shared" si="9"/>
        <v>43.626995662681622</v>
      </c>
      <c r="V29">
        <v>189859.05699856099</v>
      </c>
      <c r="W29">
        <v>2.96142578125</v>
      </c>
      <c r="X29">
        <f t="shared" si="10"/>
        <v>10.173526210726397</v>
      </c>
      <c r="Y29">
        <f t="shared" si="11"/>
        <v>78.860123373506184</v>
      </c>
      <c r="Z29">
        <v>225864.455724656</v>
      </c>
      <c r="AA29">
        <v>3.1630914861505102</v>
      </c>
      <c r="AB29">
        <f t="shared" si="12"/>
        <v>5.6312496971863908</v>
      </c>
      <c r="AC29">
        <f t="shared" si="13"/>
        <v>43.640327943918379</v>
      </c>
      <c r="AD29">
        <v>261867.88303375599</v>
      </c>
      <c r="AE29">
        <v>2.9620361328125</v>
      </c>
      <c r="AF29">
        <f t="shared" si="14"/>
        <v>10.17657796853889</v>
      </c>
      <c r="AG29">
        <f t="shared" si="15"/>
        <v>78.865122978969922</v>
      </c>
      <c r="AH29">
        <v>297873.46876285097</v>
      </c>
      <c r="AI29">
        <v>3.1637018377130102</v>
      </c>
      <c r="AJ29">
        <f t="shared" si="16"/>
        <v>5.6339962792176328</v>
      </c>
      <c r="AK29">
        <f t="shared" si="17"/>
        <v>43.652321606377704</v>
      </c>
      <c r="AL29">
        <v>333876.92807195103</v>
      </c>
      <c r="AM29">
        <v>2.9608154296875</v>
      </c>
      <c r="AN29">
        <f t="shared" si="18"/>
        <v>10.179324550570133</v>
      </c>
      <c r="AO29">
        <f t="shared" si="19"/>
        <v>78.869620602392132</v>
      </c>
    </row>
    <row r="30" spans="1:41" x14ac:dyDescent="0.15">
      <c r="A30" s="1">
        <v>28</v>
      </c>
      <c r="B30">
        <v>10201.801794778299</v>
      </c>
      <c r="C30">
        <v>3.1579805624605202</v>
      </c>
      <c r="D30">
        <f t="shared" si="0"/>
        <v>5.8778258397616572</v>
      </c>
      <c r="E30">
        <f t="shared" si="1"/>
        <v>45.043076029752008</v>
      </c>
      <c r="F30">
        <v>46205.497193877702</v>
      </c>
      <c r="G30">
        <v>2.957763671875</v>
      </c>
      <c r="H30">
        <f t="shared" si="2"/>
        <v>10.221139521276186</v>
      </c>
      <c r="I30">
        <f t="shared" si="3"/>
        <v>78.326846884972497</v>
      </c>
      <c r="J30">
        <v>82210.530925973901</v>
      </c>
      <c r="K30">
        <v>3.1556809550584402</v>
      </c>
      <c r="L30">
        <f t="shared" si="4"/>
        <v>5.7261534764804427</v>
      </c>
      <c r="M30">
        <f t="shared" si="5"/>
        <v>44.396800724034861</v>
      </c>
      <c r="N30">
        <v>118213.91223307401</v>
      </c>
      <c r="O30">
        <v>2.9608154296875</v>
      </c>
      <c r="P30">
        <f t="shared" si="6"/>
        <v>10.069467157994913</v>
      </c>
      <c r="Q30">
        <f t="shared" si="7"/>
        <v>78.071977750322645</v>
      </c>
      <c r="R30">
        <v>154219.29195216901</v>
      </c>
      <c r="S30">
        <v>3.1605206113872399</v>
      </c>
      <c r="T30">
        <f t="shared" si="8"/>
        <v>5.7292052342927811</v>
      </c>
      <c r="U30">
        <f t="shared" si="9"/>
        <v>44.409954056255081</v>
      </c>
      <c r="V30">
        <v>190222.683260269</v>
      </c>
      <c r="W30">
        <v>2.9608154296875</v>
      </c>
      <c r="X30">
        <f t="shared" si="10"/>
        <v>10.072518915807507</v>
      </c>
      <c r="Y30">
        <f t="shared" si="11"/>
        <v>78.077164979932732</v>
      </c>
      <c r="Z30">
        <v>226228.08198636401</v>
      </c>
      <c r="AA30">
        <v>3.1634305703519101</v>
      </c>
      <c r="AB30">
        <f t="shared" si="12"/>
        <v>5.7322569921052811</v>
      </c>
      <c r="AC30">
        <f t="shared" si="13"/>
        <v>44.423101166919096</v>
      </c>
      <c r="AD30">
        <v>262231.50929546403</v>
      </c>
      <c r="AE30">
        <v>2.9612624043165701</v>
      </c>
      <c r="AF30">
        <f t="shared" si="14"/>
        <v>10.075570673619991</v>
      </c>
      <c r="AG30">
        <f t="shared" si="15"/>
        <v>78.082349755969133</v>
      </c>
      <c r="AH30">
        <v>298237.09502455901</v>
      </c>
      <c r="AI30">
        <v>3.1637789023046601</v>
      </c>
      <c r="AJ30">
        <f t="shared" si="16"/>
        <v>5.7350035741365311</v>
      </c>
      <c r="AK30">
        <f t="shared" si="17"/>
        <v>44.434928250733222</v>
      </c>
      <c r="AL30">
        <v>334240.55433365901</v>
      </c>
      <c r="AM30">
        <v>2.95989990234375</v>
      </c>
      <c r="AN30">
        <f t="shared" si="18"/>
        <v>10.07831725565125</v>
      </c>
      <c r="AO30">
        <f t="shared" si="19"/>
        <v>78.087013958036735</v>
      </c>
    </row>
    <row r="31" spans="1:41" x14ac:dyDescent="0.15">
      <c r="A31" s="1">
        <v>29</v>
      </c>
      <c r="B31">
        <v>10565.4280564865</v>
      </c>
      <c r="C31">
        <v>3.1585200145991199</v>
      </c>
      <c r="D31">
        <f t="shared" si="0"/>
        <v>5.9788331346806025</v>
      </c>
      <c r="E31">
        <f t="shared" si="1"/>
        <v>45.817117212431576</v>
      </c>
      <c r="F31">
        <v>46569.123455585897</v>
      </c>
      <c r="G31">
        <v>2.9571533203125</v>
      </c>
      <c r="H31">
        <f t="shared" si="2"/>
        <v>10.120132226357242</v>
      </c>
      <c r="I31">
        <f t="shared" si="3"/>
        <v>77.552805702292943</v>
      </c>
      <c r="J31">
        <v>82574.157187682096</v>
      </c>
      <c r="K31">
        <v>3.1559213965831199</v>
      </c>
      <c r="L31">
        <f t="shared" si="4"/>
        <v>5.8271607713993863</v>
      </c>
      <c r="M31">
        <f t="shared" si="5"/>
        <v>45.179944375809015</v>
      </c>
      <c r="N31">
        <v>118577.538494782</v>
      </c>
      <c r="O31">
        <v>2.960205078125</v>
      </c>
      <c r="P31">
        <f t="shared" si="6"/>
        <v>9.9684598630760259</v>
      </c>
      <c r="Q31">
        <f t="shared" si="7"/>
        <v>77.288834098548946</v>
      </c>
      <c r="R31">
        <v>154582.918213878</v>
      </c>
      <c r="S31">
        <v>3.16065624506779</v>
      </c>
      <c r="T31">
        <f t="shared" si="8"/>
        <v>5.8302125292119467</v>
      </c>
      <c r="U31">
        <f t="shared" si="9"/>
        <v>45.192912449830672</v>
      </c>
      <c r="V31">
        <v>190586.30952197799</v>
      </c>
      <c r="W31">
        <v>2.960205078125</v>
      </c>
      <c r="X31">
        <f t="shared" si="10"/>
        <v>9.9715116208883412</v>
      </c>
      <c r="Y31">
        <f t="shared" si="11"/>
        <v>77.294206586357134</v>
      </c>
      <c r="Z31">
        <v>226591.708248073</v>
      </c>
      <c r="AA31">
        <v>3.16319629399471</v>
      </c>
      <c r="AB31">
        <f t="shared" si="12"/>
        <v>5.8332642870244467</v>
      </c>
      <c r="AC31">
        <f t="shared" si="13"/>
        <v>45.205874389921959</v>
      </c>
      <c r="AD31">
        <v>262595.13555717299</v>
      </c>
      <c r="AE31">
        <v>2.9608154296875</v>
      </c>
      <c r="AF31">
        <f t="shared" si="14"/>
        <v>9.9745633787008341</v>
      </c>
      <c r="AG31">
        <f t="shared" si="15"/>
        <v>77.299576532966327</v>
      </c>
      <c r="AH31">
        <v>298600.72128626797</v>
      </c>
      <c r="AI31">
        <v>3.1642197117658402</v>
      </c>
      <c r="AJ31">
        <f t="shared" si="16"/>
        <v>5.8360108690556896</v>
      </c>
      <c r="AK31">
        <f t="shared" si="17"/>
        <v>45.217534895090758</v>
      </c>
      <c r="AL31">
        <v>334604.18059536797</v>
      </c>
      <c r="AM31">
        <v>2.95928955078125</v>
      </c>
      <c r="AN31">
        <f t="shared" si="18"/>
        <v>9.9773099607320912</v>
      </c>
      <c r="AO31">
        <f t="shared" si="19"/>
        <v>77.304407313679206</v>
      </c>
    </row>
    <row r="32" spans="1:41" x14ac:dyDescent="0.15">
      <c r="A32" s="1">
        <v>30</v>
      </c>
      <c r="B32">
        <v>10929.0543181947</v>
      </c>
      <c r="C32">
        <v>3.15850460168086</v>
      </c>
      <c r="D32">
        <f t="shared" si="0"/>
        <v>6.079840429599547</v>
      </c>
      <c r="E32">
        <f t="shared" si="1"/>
        <v>46.591158395111137</v>
      </c>
      <c r="F32">
        <v>46932.7497172941</v>
      </c>
      <c r="G32">
        <v>2.95623779296875</v>
      </c>
      <c r="H32">
        <f t="shared" si="2"/>
        <v>10.019124931438297</v>
      </c>
      <c r="I32">
        <f t="shared" si="3"/>
        <v>76.778764519613389</v>
      </c>
      <c r="J32">
        <v>82937.783449390306</v>
      </c>
      <c r="K32">
        <v>3.15619266394408</v>
      </c>
      <c r="L32">
        <f t="shared" si="4"/>
        <v>5.9281680663183334</v>
      </c>
      <c r="M32">
        <f t="shared" si="5"/>
        <v>45.963088027583197</v>
      </c>
      <c r="N32">
        <v>118941.16475649</v>
      </c>
      <c r="O32">
        <v>2.95928955078125</v>
      </c>
      <c r="P32">
        <f t="shared" si="6"/>
        <v>9.8674525681571357</v>
      </c>
      <c r="Q32">
        <f t="shared" si="7"/>
        <v>76.505690446775205</v>
      </c>
      <c r="R32">
        <v>154946.54447558601</v>
      </c>
      <c r="S32">
        <v>3.1611402107006201</v>
      </c>
      <c r="T32">
        <f t="shared" si="8"/>
        <v>5.9312198241308378</v>
      </c>
      <c r="U32">
        <f t="shared" si="9"/>
        <v>45.975870843404138</v>
      </c>
      <c r="V32">
        <v>190949.935783686</v>
      </c>
      <c r="W32">
        <v>2.9595947265625</v>
      </c>
      <c r="X32">
        <f t="shared" si="10"/>
        <v>9.8705043259694509</v>
      </c>
      <c r="Y32">
        <f t="shared" si="11"/>
        <v>76.511248192783682</v>
      </c>
      <c r="Z32">
        <v>226955.33450978101</v>
      </c>
      <c r="AA32">
        <v>3.1635168826940601</v>
      </c>
      <c r="AB32">
        <f t="shared" si="12"/>
        <v>5.9342715819433378</v>
      </c>
      <c r="AC32">
        <f t="shared" si="13"/>
        <v>45.988647612922698</v>
      </c>
      <c r="AD32">
        <v>262958.76181888097</v>
      </c>
      <c r="AE32">
        <v>2.960205078125</v>
      </c>
      <c r="AF32">
        <f t="shared" si="14"/>
        <v>9.8735560837819509</v>
      </c>
      <c r="AG32">
        <f t="shared" si="15"/>
        <v>76.516803309965667</v>
      </c>
      <c r="AH32">
        <v>298964.34754797601</v>
      </c>
      <c r="AI32">
        <v>3.1635168826940498</v>
      </c>
      <c r="AJ32">
        <f t="shared" si="16"/>
        <v>5.9370181639745878</v>
      </c>
      <c r="AK32">
        <f t="shared" si="17"/>
        <v>46.000141539446275</v>
      </c>
      <c r="AL32">
        <v>334967.80685707601</v>
      </c>
      <c r="AM32">
        <v>2.95867919921875</v>
      </c>
      <c r="AN32">
        <f t="shared" si="18"/>
        <v>9.876302665813192</v>
      </c>
      <c r="AO32">
        <f t="shared" si="19"/>
        <v>76.521800669323667</v>
      </c>
    </row>
    <row r="33" spans="1:41" x14ac:dyDescent="0.15">
      <c r="A33" s="1">
        <v>31</v>
      </c>
      <c r="B33">
        <v>11292.680579902901</v>
      </c>
      <c r="C33">
        <v>3.1585169320154698</v>
      </c>
      <c r="D33">
        <f t="shared" si="0"/>
        <v>6.1808477245184914</v>
      </c>
      <c r="E33">
        <f t="shared" si="1"/>
        <v>47.365199577790698</v>
      </c>
      <c r="F33">
        <v>47296.375979002201</v>
      </c>
      <c r="G33">
        <v>2.95562744140625</v>
      </c>
      <c r="H33">
        <f t="shared" si="2"/>
        <v>9.9181176365193799</v>
      </c>
      <c r="I33">
        <f t="shared" si="3"/>
        <v>76.004723336934035</v>
      </c>
      <c r="J33">
        <v>83301.409711098502</v>
      </c>
      <c r="K33">
        <v>3.15704345703125</v>
      </c>
      <c r="L33">
        <f t="shared" si="4"/>
        <v>6.0291753612372769</v>
      </c>
      <c r="M33">
        <f t="shared" si="5"/>
        <v>46.746231679357351</v>
      </c>
      <c r="N33">
        <v>119304.791018198</v>
      </c>
      <c r="O33">
        <v>2.95867919921875</v>
      </c>
      <c r="P33">
        <f t="shared" si="6"/>
        <v>9.766445273238249</v>
      </c>
      <c r="Q33">
        <f t="shared" si="7"/>
        <v>75.722546795001492</v>
      </c>
      <c r="R33">
        <v>155310.17073729401</v>
      </c>
      <c r="S33">
        <v>3.1613683218907398</v>
      </c>
      <c r="T33">
        <f t="shared" si="8"/>
        <v>6.032227119049729</v>
      </c>
      <c r="U33">
        <f t="shared" si="9"/>
        <v>46.758829236977604</v>
      </c>
      <c r="V33">
        <v>191313.56204539401</v>
      </c>
      <c r="W33">
        <v>2.958984375</v>
      </c>
      <c r="X33">
        <f t="shared" si="10"/>
        <v>9.7694970310505607</v>
      </c>
      <c r="Y33">
        <f t="shared" si="11"/>
        <v>75.728289799210231</v>
      </c>
      <c r="Z33">
        <v>227318.96077148899</v>
      </c>
      <c r="AA33">
        <v>3.16386213206273</v>
      </c>
      <c r="AB33">
        <f t="shared" si="12"/>
        <v>6.0352788768622201</v>
      </c>
      <c r="AC33">
        <f t="shared" si="13"/>
        <v>46.771420835923358</v>
      </c>
      <c r="AD33">
        <v>263322.38808058901</v>
      </c>
      <c r="AE33">
        <v>2.9595947265625</v>
      </c>
      <c r="AF33">
        <f t="shared" si="14"/>
        <v>9.7725487888630518</v>
      </c>
      <c r="AG33">
        <f t="shared" si="15"/>
        <v>75.734030086964864</v>
      </c>
      <c r="AH33">
        <v>299327.97380968399</v>
      </c>
      <c r="AI33">
        <v>3.16442007970327</v>
      </c>
      <c r="AJ33">
        <f t="shared" si="16"/>
        <v>6.0380254588934701</v>
      </c>
      <c r="AK33">
        <f t="shared" si="17"/>
        <v>46.782748183801672</v>
      </c>
      <c r="AL33">
        <v>335331.43311878399</v>
      </c>
      <c r="AM33">
        <v>2.9583740234375</v>
      </c>
      <c r="AN33">
        <f t="shared" si="18"/>
        <v>9.7752953708943107</v>
      </c>
      <c r="AO33">
        <f t="shared" si="19"/>
        <v>75.739194024968285</v>
      </c>
    </row>
    <row r="34" spans="1:41" x14ac:dyDescent="0.15">
      <c r="A34" s="1">
        <v>32</v>
      </c>
      <c r="B34">
        <v>11656.3068416111</v>
      </c>
      <c r="C34">
        <v>3.1594602026120802</v>
      </c>
      <c r="D34">
        <f t="shared" si="0"/>
        <v>6.2818550194374358</v>
      </c>
      <c r="E34">
        <f t="shared" si="1"/>
        <v>48.139240760470258</v>
      </c>
      <c r="F34">
        <v>47660.002240710397</v>
      </c>
      <c r="G34">
        <v>2.95501708984375</v>
      </c>
      <c r="H34">
        <f t="shared" si="2"/>
        <v>9.8171103416004364</v>
      </c>
      <c r="I34">
        <f t="shared" si="3"/>
        <v>75.230682154254481</v>
      </c>
      <c r="J34">
        <v>83665.035972806698</v>
      </c>
      <c r="K34">
        <v>3.1573239721432098</v>
      </c>
      <c r="L34">
        <f t="shared" si="4"/>
        <v>6.1301826561562205</v>
      </c>
      <c r="M34">
        <f t="shared" si="5"/>
        <v>47.529375331131504</v>
      </c>
      <c r="N34">
        <v>119668.417279906</v>
      </c>
      <c r="O34">
        <v>2.95806884765625</v>
      </c>
      <c r="P34">
        <f t="shared" si="6"/>
        <v>9.6654379783193587</v>
      </c>
      <c r="Q34">
        <f t="shared" si="7"/>
        <v>74.93940314322775</v>
      </c>
      <c r="R34">
        <v>155673.79699900199</v>
      </c>
      <c r="S34">
        <v>3.1619139391967002</v>
      </c>
      <c r="T34">
        <f t="shared" si="8"/>
        <v>6.1332344139686104</v>
      </c>
      <c r="U34">
        <f t="shared" si="9"/>
        <v>47.541787630550999</v>
      </c>
      <c r="V34">
        <v>191677.18830710201</v>
      </c>
      <c r="W34">
        <v>2.9583740234375</v>
      </c>
      <c r="X34">
        <f t="shared" si="10"/>
        <v>9.6684897361316704</v>
      </c>
      <c r="Y34">
        <f t="shared" si="11"/>
        <v>74.945331405636765</v>
      </c>
      <c r="Z34">
        <v>227682.58703319699</v>
      </c>
      <c r="AA34">
        <v>3.1637449938842002</v>
      </c>
      <c r="AB34">
        <f t="shared" si="12"/>
        <v>6.1362861717811104</v>
      </c>
      <c r="AC34">
        <f t="shared" si="13"/>
        <v>47.554194058924082</v>
      </c>
      <c r="AD34">
        <v>263686.01434229698</v>
      </c>
      <c r="AE34">
        <v>2.958984375</v>
      </c>
      <c r="AF34">
        <f t="shared" si="14"/>
        <v>9.6715414939441704</v>
      </c>
      <c r="AG34">
        <f t="shared" si="15"/>
        <v>74.951256863964204</v>
      </c>
      <c r="AH34">
        <v>299691.60007139202</v>
      </c>
      <c r="AI34">
        <v>3.1637819848878501</v>
      </c>
      <c r="AJ34">
        <f t="shared" si="16"/>
        <v>6.1390327538123692</v>
      </c>
      <c r="AK34">
        <f t="shared" si="17"/>
        <v>47.565354828157197</v>
      </c>
      <c r="AL34">
        <v>335695.05938049202</v>
      </c>
      <c r="AM34">
        <v>2.957763671875</v>
      </c>
      <c r="AN34">
        <f t="shared" si="18"/>
        <v>9.6742880759754115</v>
      </c>
      <c r="AO34">
        <f t="shared" si="19"/>
        <v>74.95658738061276</v>
      </c>
    </row>
    <row r="35" spans="1:41" x14ac:dyDescent="0.15">
      <c r="A35" s="1">
        <v>33</v>
      </c>
      <c r="B35">
        <v>12019.933103319299</v>
      </c>
      <c r="C35">
        <v>3.1589762369791798</v>
      </c>
      <c r="D35">
        <f t="shared" si="0"/>
        <v>6.3828623143563803</v>
      </c>
      <c r="E35">
        <f t="shared" si="1"/>
        <v>48.913281943149819</v>
      </c>
      <c r="F35">
        <v>48023.6285024186</v>
      </c>
      <c r="G35">
        <v>2.9541015625</v>
      </c>
      <c r="H35">
        <f t="shared" si="2"/>
        <v>9.7161030466814911</v>
      </c>
      <c r="I35">
        <f t="shared" si="3"/>
        <v>74.456640971574899</v>
      </c>
      <c r="J35">
        <v>84028.662234514893</v>
      </c>
      <c r="K35">
        <v>3.1575520833333801</v>
      </c>
      <c r="L35">
        <f t="shared" si="4"/>
        <v>6.2311899510751632</v>
      </c>
      <c r="M35">
        <f t="shared" si="5"/>
        <v>48.312518982905651</v>
      </c>
      <c r="N35">
        <v>120032.043541615</v>
      </c>
      <c r="O35">
        <v>2.9571533203125</v>
      </c>
      <c r="P35">
        <f t="shared" si="6"/>
        <v>9.5644306834001931</v>
      </c>
      <c r="Q35">
        <f t="shared" si="7"/>
        <v>74.156259491451877</v>
      </c>
      <c r="R35">
        <v>156037.42326071</v>
      </c>
      <c r="S35">
        <v>3.1623331705729201</v>
      </c>
      <c r="T35">
        <f t="shared" si="8"/>
        <v>6.2342417088875015</v>
      </c>
      <c r="U35">
        <f t="shared" si="9"/>
        <v>48.324746024124458</v>
      </c>
      <c r="V35">
        <v>192040.81456880999</v>
      </c>
      <c r="W35">
        <v>2.957763671875</v>
      </c>
      <c r="X35">
        <f t="shared" si="10"/>
        <v>9.5674824412127872</v>
      </c>
      <c r="Y35">
        <f t="shared" si="11"/>
        <v>74.16237301206337</v>
      </c>
      <c r="Z35">
        <v>228046.213294905</v>
      </c>
      <c r="AA35">
        <v>3.16375732421875</v>
      </c>
      <c r="AB35">
        <f t="shared" si="12"/>
        <v>6.2372934667000015</v>
      </c>
      <c r="AC35">
        <f t="shared" si="13"/>
        <v>48.336967281924814</v>
      </c>
      <c r="AD35">
        <v>264049.64060400502</v>
      </c>
      <c r="AE35">
        <v>2.9583740234375</v>
      </c>
      <c r="AF35">
        <f t="shared" si="14"/>
        <v>9.5705341990252712</v>
      </c>
      <c r="AG35">
        <f t="shared" si="15"/>
        <v>74.168483640963416</v>
      </c>
      <c r="AH35">
        <v>300055.2263331</v>
      </c>
      <c r="AI35">
        <v>3.1642659505208299</v>
      </c>
      <c r="AJ35">
        <f t="shared" si="16"/>
        <v>6.2400400487312515</v>
      </c>
      <c r="AK35">
        <f t="shared" si="17"/>
        <v>48.347961472512594</v>
      </c>
      <c r="AL35">
        <v>336058.6856422</v>
      </c>
      <c r="AM35">
        <v>2.9571533203125</v>
      </c>
      <c r="AN35">
        <f t="shared" si="18"/>
        <v>9.5732807810565284</v>
      </c>
      <c r="AO35">
        <f t="shared" si="19"/>
        <v>74.173980736257363</v>
      </c>
    </row>
    <row r="36" spans="1:41" x14ac:dyDescent="0.15">
      <c r="A36" s="1">
        <v>34</v>
      </c>
      <c r="B36">
        <v>12383.5593650275</v>
      </c>
      <c r="C36">
        <v>3.1598270300663001</v>
      </c>
      <c r="D36">
        <f t="shared" si="0"/>
        <v>6.4838696092753247</v>
      </c>
      <c r="E36">
        <f t="shared" si="1"/>
        <v>49.68732312582938</v>
      </c>
      <c r="F36">
        <v>48387.254764126803</v>
      </c>
      <c r="G36">
        <v>2.9534912109375</v>
      </c>
      <c r="H36">
        <f t="shared" si="2"/>
        <v>9.6150957517625457</v>
      </c>
      <c r="I36">
        <f t="shared" si="3"/>
        <v>73.682599788895345</v>
      </c>
      <c r="J36">
        <v>84392.288496223104</v>
      </c>
      <c r="K36">
        <v>3.15756441366787</v>
      </c>
      <c r="L36">
        <f t="shared" si="4"/>
        <v>6.3321972459941112</v>
      </c>
      <c r="M36">
        <f t="shared" si="5"/>
        <v>49.09566263467984</v>
      </c>
      <c r="N36">
        <v>120395.66980332301</v>
      </c>
      <c r="O36">
        <v>2.95654296875</v>
      </c>
      <c r="P36">
        <f t="shared" si="6"/>
        <v>9.4634233884813028</v>
      </c>
      <c r="Q36">
        <f t="shared" si="7"/>
        <v>73.373115839678121</v>
      </c>
      <c r="R36">
        <v>156401.04952241899</v>
      </c>
      <c r="S36">
        <v>3.16183687460537</v>
      </c>
      <c r="T36">
        <f t="shared" si="8"/>
        <v>6.3352490038066671</v>
      </c>
      <c r="U36">
        <f t="shared" si="9"/>
        <v>49.107704417700056</v>
      </c>
      <c r="V36">
        <v>192404.44083051899</v>
      </c>
      <c r="W36">
        <v>2.9571533203125</v>
      </c>
      <c r="X36">
        <f t="shared" si="10"/>
        <v>9.4664751462936216</v>
      </c>
      <c r="Y36">
        <f t="shared" si="11"/>
        <v>73.379414618487772</v>
      </c>
      <c r="Z36">
        <v>228409.839556614</v>
      </c>
      <c r="AA36">
        <v>3.16402550899639</v>
      </c>
      <c r="AB36">
        <f t="shared" si="12"/>
        <v>6.3383007616191671</v>
      </c>
      <c r="AC36">
        <f t="shared" si="13"/>
        <v>49.11974050492767</v>
      </c>
      <c r="AD36">
        <v>264413.26686571399</v>
      </c>
      <c r="AE36">
        <v>2.957763671875</v>
      </c>
      <c r="AF36">
        <f t="shared" si="14"/>
        <v>9.4695269041061145</v>
      </c>
      <c r="AG36">
        <f t="shared" si="15"/>
        <v>73.385710417960624</v>
      </c>
      <c r="AH36">
        <v>300418.85259480902</v>
      </c>
      <c r="AI36">
        <v>3.1642936937739501</v>
      </c>
      <c r="AJ36">
        <f t="shared" si="16"/>
        <v>6.3410473436504251</v>
      </c>
      <c r="AK36">
        <f t="shared" si="17"/>
        <v>49.130568116870244</v>
      </c>
      <c r="AL36">
        <v>336422.31190390902</v>
      </c>
      <c r="AM36">
        <v>2.95684814453125</v>
      </c>
      <c r="AN36">
        <f t="shared" si="18"/>
        <v>9.4722734861373556</v>
      </c>
      <c r="AO36">
        <f t="shared" si="19"/>
        <v>73.391374091899721</v>
      </c>
    </row>
    <row r="37" spans="1:41" x14ac:dyDescent="0.15">
      <c r="A37" s="1">
        <v>35</v>
      </c>
      <c r="B37">
        <v>12747.1856267356</v>
      </c>
      <c r="C37">
        <v>3.1600458935053899</v>
      </c>
      <c r="D37">
        <f t="shared" si="0"/>
        <v>6.5848769041942408</v>
      </c>
      <c r="E37">
        <f t="shared" si="1"/>
        <v>50.461364308508728</v>
      </c>
      <c r="F37">
        <v>48750.881025834999</v>
      </c>
      <c r="G37">
        <v>2.952880859375</v>
      </c>
      <c r="H37">
        <f t="shared" si="2"/>
        <v>9.5140884568436022</v>
      </c>
      <c r="I37">
        <f t="shared" si="3"/>
        <v>72.908558606215792</v>
      </c>
      <c r="J37">
        <v>84755.914757931299</v>
      </c>
      <c r="K37">
        <v>3.15821483881798</v>
      </c>
      <c r="L37">
        <f t="shared" si="4"/>
        <v>6.4332045409130538</v>
      </c>
      <c r="M37">
        <f t="shared" si="5"/>
        <v>49.878806286453987</v>
      </c>
      <c r="N37">
        <v>120759.296065031</v>
      </c>
      <c r="O37">
        <v>2.95565210207553</v>
      </c>
      <c r="P37">
        <f t="shared" si="6"/>
        <v>9.3624160935624161</v>
      </c>
      <c r="Q37">
        <f t="shared" si="7"/>
        <v>72.589972187904422</v>
      </c>
      <c r="R37">
        <v>156764.675784127</v>
      </c>
      <c r="S37">
        <v>3.1622561059816099</v>
      </c>
      <c r="T37">
        <f t="shared" si="8"/>
        <v>6.4362562987255583</v>
      </c>
      <c r="U37">
        <f t="shared" si="9"/>
        <v>49.890662811273515</v>
      </c>
      <c r="V37">
        <v>192768.06709222699</v>
      </c>
      <c r="W37">
        <v>2.95623779296875</v>
      </c>
      <c r="X37">
        <f t="shared" si="10"/>
        <v>9.3654678513747314</v>
      </c>
      <c r="Y37">
        <f t="shared" si="11"/>
        <v>72.596456224914306</v>
      </c>
      <c r="Z37">
        <v>228773.465818322</v>
      </c>
      <c r="AA37">
        <v>3.1649533666746401</v>
      </c>
      <c r="AB37">
        <f t="shared" si="12"/>
        <v>6.4393080565380583</v>
      </c>
      <c r="AC37">
        <f t="shared" si="13"/>
        <v>49.902513727928408</v>
      </c>
      <c r="AD37">
        <v>264776.89312742202</v>
      </c>
      <c r="AE37">
        <v>2.9571533203125</v>
      </c>
      <c r="AF37">
        <f t="shared" si="14"/>
        <v>9.3685196091872154</v>
      </c>
      <c r="AG37">
        <f t="shared" si="15"/>
        <v>72.602937194959821</v>
      </c>
      <c r="AH37">
        <v>300782.478856517</v>
      </c>
      <c r="AI37">
        <v>3.1649533666746499</v>
      </c>
      <c r="AJ37">
        <f t="shared" si="16"/>
        <v>6.4420546385693083</v>
      </c>
      <c r="AK37">
        <f t="shared" si="17"/>
        <v>49.91317476122564</v>
      </c>
      <c r="AL37">
        <v>336785.938165617</v>
      </c>
      <c r="AM37">
        <v>2.95623779296875</v>
      </c>
      <c r="AN37">
        <f t="shared" si="18"/>
        <v>9.3712661912184725</v>
      </c>
      <c r="AO37">
        <f t="shared" si="19"/>
        <v>72.608767447544309</v>
      </c>
    </row>
    <row r="38" spans="1:41" x14ac:dyDescent="0.15">
      <c r="A38" s="1">
        <v>36</v>
      </c>
      <c r="B38">
        <v>13110.811888443801</v>
      </c>
      <c r="C38">
        <v>3.1596513227982999</v>
      </c>
      <c r="D38">
        <f t="shared" si="0"/>
        <v>6.6858841991131861</v>
      </c>
      <c r="E38">
        <f t="shared" si="1"/>
        <v>51.235405491188288</v>
      </c>
      <c r="F38">
        <v>49114.507287543202</v>
      </c>
      <c r="G38">
        <v>2.9522705078125</v>
      </c>
      <c r="H38">
        <f t="shared" si="2"/>
        <v>9.4130811619246568</v>
      </c>
      <c r="I38">
        <f t="shared" si="3"/>
        <v>72.134517423536209</v>
      </c>
      <c r="J38">
        <v>85119.541019639495</v>
      </c>
      <c r="K38">
        <v>3.1584028764204</v>
      </c>
      <c r="L38">
        <f t="shared" si="4"/>
        <v>6.5342118358319965</v>
      </c>
      <c r="M38">
        <f t="shared" si="5"/>
        <v>50.661949938228133</v>
      </c>
      <c r="N38">
        <v>121122.922326739</v>
      </c>
      <c r="O38">
        <v>2.95501708984375</v>
      </c>
      <c r="P38">
        <f t="shared" si="6"/>
        <v>9.2614087986435241</v>
      </c>
      <c r="Q38">
        <f t="shared" si="7"/>
        <v>71.806828536130666</v>
      </c>
      <c r="R38">
        <v>157128.30204583501</v>
      </c>
      <c r="S38">
        <v>3.1625643643466401</v>
      </c>
      <c r="T38">
        <f t="shared" si="8"/>
        <v>6.5372635936444485</v>
      </c>
      <c r="U38">
        <f t="shared" si="9"/>
        <v>50.673621204846974</v>
      </c>
      <c r="V38">
        <v>193131.693353935</v>
      </c>
      <c r="W38">
        <v>2.95562744140625</v>
      </c>
      <c r="X38">
        <f t="shared" si="10"/>
        <v>9.2644605564558411</v>
      </c>
      <c r="Y38">
        <f t="shared" si="11"/>
        <v>71.813497831340854</v>
      </c>
      <c r="Z38">
        <v>229137.09208003001</v>
      </c>
      <c r="AA38">
        <v>3.16497802734375</v>
      </c>
      <c r="AB38">
        <f t="shared" si="12"/>
        <v>6.5403153514569485</v>
      </c>
      <c r="AC38">
        <f t="shared" si="13"/>
        <v>50.685286950929132</v>
      </c>
      <c r="AD38">
        <v>265140.51938913</v>
      </c>
      <c r="AE38">
        <v>2.95654296875</v>
      </c>
      <c r="AF38">
        <f t="shared" si="14"/>
        <v>9.2675123142683322</v>
      </c>
      <c r="AG38">
        <f t="shared" si="15"/>
        <v>71.820163971959161</v>
      </c>
      <c r="AH38">
        <v>301146.10511822498</v>
      </c>
      <c r="AI38">
        <v>3.1646728515625</v>
      </c>
      <c r="AJ38">
        <f t="shared" si="16"/>
        <v>6.5430619334881905</v>
      </c>
      <c r="AK38">
        <f t="shared" si="17"/>
        <v>50.695781405581045</v>
      </c>
      <c r="AL38">
        <v>337149.56442732498</v>
      </c>
      <c r="AM38">
        <v>2.95562744140625</v>
      </c>
      <c r="AN38">
        <f t="shared" si="18"/>
        <v>9.2702588962995911</v>
      </c>
      <c r="AO38">
        <f t="shared" si="19"/>
        <v>71.826160803188927</v>
      </c>
    </row>
    <row r="39" spans="1:41" x14ac:dyDescent="0.15">
      <c r="A39" s="1">
        <v>37</v>
      </c>
      <c r="B39">
        <v>13474.438150152</v>
      </c>
      <c r="C39">
        <v>3.1606007585621598</v>
      </c>
      <c r="D39">
        <f t="shared" si="0"/>
        <v>6.7868914940321297</v>
      </c>
      <c r="E39">
        <f t="shared" si="1"/>
        <v>52.009446673867842</v>
      </c>
      <c r="F39">
        <v>49478.133549251397</v>
      </c>
      <c r="G39">
        <v>2.95135498046875</v>
      </c>
      <c r="H39">
        <f t="shared" si="2"/>
        <v>9.312073867005715</v>
      </c>
      <c r="I39">
        <f t="shared" si="3"/>
        <v>71.36047624085667</v>
      </c>
      <c r="J39">
        <v>85483.167281347705</v>
      </c>
      <c r="K39">
        <v>3.1583689680004201</v>
      </c>
      <c r="L39">
        <f t="shared" si="4"/>
        <v>6.6352191307509445</v>
      </c>
      <c r="M39">
        <f t="shared" si="5"/>
        <v>51.445093590002323</v>
      </c>
      <c r="N39">
        <v>121486.548588447</v>
      </c>
      <c r="O39">
        <v>2.9541015625</v>
      </c>
      <c r="P39">
        <f t="shared" si="6"/>
        <v>9.1604015037246374</v>
      </c>
      <c r="Q39">
        <f t="shared" si="7"/>
        <v>71.023684884356953</v>
      </c>
      <c r="R39">
        <v>157491.92830754301</v>
      </c>
      <c r="S39">
        <v>3.1632949366715</v>
      </c>
      <c r="T39">
        <f t="shared" si="8"/>
        <v>6.6382708885633388</v>
      </c>
      <c r="U39">
        <f t="shared" si="9"/>
        <v>51.45657959842044</v>
      </c>
      <c r="V39">
        <v>193495.31961564301</v>
      </c>
      <c r="W39">
        <v>2.9547119140625</v>
      </c>
      <c r="X39">
        <f t="shared" si="10"/>
        <v>9.1634532615369491</v>
      </c>
      <c r="Y39">
        <f t="shared" si="11"/>
        <v>71.030539437767388</v>
      </c>
      <c r="Z39">
        <v>229500.71834173799</v>
      </c>
      <c r="AA39">
        <v>3.16442007970325</v>
      </c>
      <c r="AB39">
        <f t="shared" si="12"/>
        <v>6.6413226463758317</v>
      </c>
      <c r="AC39">
        <f t="shared" si="13"/>
        <v>51.468060173929807</v>
      </c>
      <c r="AD39">
        <v>265504.14565083798</v>
      </c>
      <c r="AE39">
        <v>2.9559326171875</v>
      </c>
      <c r="AF39">
        <f t="shared" si="14"/>
        <v>9.1665050193494491</v>
      </c>
      <c r="AG39">
        <f t="shared" si="15"/>
        <v>71.037390748958487</v>
      </c>
      <c r="AH39">
        <v>301509.73137993301</v>
      </c>
      <c r="AI39">
        <v>3.16523079920275</v>
      </c>
      <c r="AJ39">
        <f t="shared" si="16"/>
        <v>6.6440692284070888</v>
      </c>
      <c r="AK39">
        <f t="shared" si="17"/>
        <v>51.478388049936555</v>
      </c>
      <c r="AL39">
        <v>337513.19068903301</v>
      </c>
      <c r="AM39">
        <v>2.9549646859215</v>
      </c>
      <c r="AN39">
        <f t="shared" si="18"/>
        <v>9.169251601380692</v>
      </c>
      <c r="AO39">
        <f t="shared" si="19"/>
        <v>71.043554158833402</v>
      </c>
    </row>
    <row r="40" spans="1:41" x14ac:dyDescent="0.15">
      <c r="A40" s="1">
        <v>38</v>
      </c>
      <c r="B40">
        <v>13838.064411860199</v>
      </c>
      <c r="C40">
        <v>3.16070556640625</v>
      </c>
      <c r="D40">
        <f t="shared" si="0"/>
        <v>6.887898788951075</v>
      </c>
      <c r="E40">
        <f t="shared" si="1"/>
        <v>52.783487856547417</v>
      </c>
      <c r="F40">
        <v>49841.7598109596</v>
      </c>
      <c r="G40">
        <v>2.95074462890625</v>
      </c>
      <c r="H40">
        <f t="shared" si="2"/>
        <v>9.2110665720867679</v>
      </c>
      <c r="I40">
        <f t="shared" si="3"/>
        <v>70.586435058177102</v>
      </c>
      <c r="J40">
        <v>85846.793543055901</v>
      </c>
      <c r="K40">
        <v>3.1585693359375</v>
      </c>
      <c r="L40">
        <f t="shared" si="4"/>
        <v>6.7362264256698872</v>
      </c>
      <c r="M40">
        <f t="shared" si="5"/>
        <v>52.228237241776462</v>
      </c>
      <c r="N40">
        <v>121850.17485015601</v>
      </c>
      <c r="O40">
        <v>2.9534912109375</v>
      </c>
      <c r="P40">
        <f t="shared" si="6"/>
        <v>9.0593942088054682</v>
      </c>
      <c r="Q40">
        <f t="shared" si="7"/>
        <v>70.240541232581052</v>
      </c>
      <c r="R40">
        <v>157855.55456925099</v>
      </c>
      <c r="S40">
        <v>3.1630236693102298</v>
      </c>
      <c r="T40">
        <f t="shared" si="8"/>
        <v>6.739278183482222</v>
      </c>
      <c r="U40">
        <f t="shared" si="9"/>
        <v>52.239537991993835</v>
      </c>
      <c r="V40">
        <v>193858.94587735101</v>
      </c>
      <c r="W40">
        <v>2.9541015625</v>
      </c>
      <c r="X40">
        <f t="shared" si="10"/>
        <v>9.0624459666180588</v>
      </c>
      <c r="Y40">
        <f t="shared" si="11"/>
        <v>70.247581044193922</v>
      </c>
      <c r="Z40">
        <v>229864.34460344599</v>
      </c>
      <c r="AA40">
        <v>3.1646111998894901</v>
      </c>
      <c r="AB40">
        <f t="shared" si="12"/>
        <v>6.742329941294722</v>
      </c>
      <c r="AC40">
        <f t="shared" si="13"/>
        <v>52.250833396930531</v>
      </c>
      <c r="AD40">
        <v>265867.77191254601</v>
      </c>
      <c r="AE40">
        <v>2.95501708984375</v>
      </c>
      <c r="AF40">
        <f t="shared" si="14"/>
        <v>9.0654977244305499</v>
      </c>
      <c r="AG40">
        <f t="shared" si="15"/>
        <v>70.254617525957698</v>
      </c>
      <c r="AH40">
        <v>301873.35764164099</v>
      </c>
      <c r="AI40">
        <v>3.16485780658153</v>
      </c>
      <c r="AJ40">
        <f t="shared" si="16"/>
        <v>6.745076523325972</v>
      </c>
      <c r="AK40">
        <f t="shared" si="17"/>
        <v>52.260994694291959</v>
      </c>
      <c r="AL40">
        <v>337876.81695074099</v>
      </c>
      <c r="AM40">
        <v>2.9541015625</v>
      </c>
      <c r="AN40">
        <f t="shared" si="18"/>
        <v>9.0682443064618088</v>
      </c>
      <c r="AO40">
        <f t="shared" si="19"/>
        <v>70.260947514478005</v>
      </c>
    </row>
    <row r="41" spans="1:41" x14ac:dyDescent="0.15">
      <c r="A41" s="1">
        <v>39</v>
      </c>
      <c r="B41">
        <v>14201.690673568401</v>
      </c>
      <c r="C41">
        <v>3.16075180516096</v>
      </c>
      <c r="D41">
        <f t="shared" si="0"/>
        <v>6.9889060838700194</v>
      </c>
      <c r="E41">
        <f t="shared" si="1"/>
        <v>53.557529039226971</v>
      </c>
      <c r="F41">
        <v>50205.386072667803</v>
      </c>
      <c r="G41">
        <v>2.95013427734375</v>
      </c>
      <c r="H41">
        <f t="shared" si="2"/>
        <v>9.1100592771678244</v>
      </c>
      <c r="I41">
        <f t="shared" si="3"/>
        <v>69.812393875497548</v>
      </c>
      <c r="J41">
        <v>86210.419804764097</v>
      </c>
      <c r="K41">
        <v>3.1589207504733698</v>
      </c>
      <c r="L41">
        <f t="shared" si="4"/>
        <v>6.8372337205888307</v>
      </c>
      <c r="M41">
        <f t="shared" si="5"/>
        <v>53.011380893550623</v>
      </c>
      <c r="N41">
        <v>122213.801111864</v>
      </c>
      <c r="O41">
        <v>2.95257568359375</v>
      </c>
      <c r="P41">
        <f t="shared" si="6"/>
        <v>8.9583869138865815</v>
      </c>
      <c r="Q41">
        <f t="shared" si="7"/>
        <v>69.457397580807338</v>
      </c>
      <c r="R41">
        <v>158219.18083095999</v>
      </c>
      <c r="S41">
        <v>3.1636278557054598</v>
      </c>
      <c r="T41">
        <f t="shared" si="8"/>
        <v>6.8402854784013876</v>
      </c>
      <c r="U41">
        <f t="shared" si="9"/>
        <v>53.022496385569426</v>
      </c>
      <c r="V41">
        <v>194222.57213905899</v>
      </c>
      <c r="W41">
        <v>2.95318603515625</v>
      </c>
      <c r="X41">
        <f t="shared" si="10"/>
        <v>8.9614386716991756</v>
      </c>
      <c r="Y41">
        <f t="shared" si="11"/>
        <v>69.464622650620527</v>
      </c>
      <c r="Z41">
        <v>230227.97086515499</v>
      </c>
      <c r="AA41">
        <v>3.16462661280783</v>
      </c>
      <c r="AB41">
        <f t="shared" si="12"/>
        <v>6.8433372362138876</v>
      </c>
      <c r="AC41">
        <f t="shared" si="13"/>
        <v>53.033606619933394</v>
      </c>
      <c r="AD41">
        <v>266231.39817425399</v>
      </c>
      <c r="AE41">
        <v>2.9541015625</v>
      </c>
      <c r="AF41">
        <f t="shared" si="14"/>
        <v>8.9644904295116685</v>
      </c>
      <c r="AG41">
        <f t="shared" si="15"/>
        <v>69.471844302957038</v>
      </c>
      <c r="AH41">
        <v>302236.98390335002</v>
      </c>
      <c r="AI41">
        <v>3.1654126716384101</v>
      </c>
      <c r="AJ41">
        <f t="shared" si="16"/>
        <v>6.8460838182451456</v>
      </c>
      <c r="AK41">
        <f t="shared" si="17"/>
        <v>53.043601338649616</v>
      </c>
      <c r="AL41">
        <v>338240.44321245002</v>
      </c>
      <c r="AM41">
        <v>2.9534912109375</v>
      </c>
      <c r="AN41">
        <f t="shared" si="18"/>
        <v>8.9672370115426361</v>
      </c>
      <c r="AO41">
        <f t="shared" si="19"/>
        <v>69.478340870120363</v>
      </c>
    </row>
    <row r="42" spans="1:41" x14ac:dyDescent="0.15">
      <c r="A42" s="1">
        <v>40</v>
      </c>
      <c r="B42">
        <v>14565.3169352766</v>
      </c>
      <c r="C42">
        <v>3.1613313308870099</v>
      </c>
      <c r="D42">
        <f t="shared" si="0"/>
        <v>7.0899133787889639</v>
      </c>
      <c r="E42">
        <f t="shared" si="1"/>
        <v>54.331570221906532</v>
      </c>
      <c r="F42">
        <v>50569.012334375999</v>
      </c>
      <c r="G42">
        <v>2.94952392578125</v>
      </c>
      <c r="H42">
        <f t="shared" si="2"/>
        <v>9.0090519822488808</v>
      </c>
      <c r="I42">
        <f t="shared" si="3"/>
        <v>69.03835269281798</v>
      </c>
      <c r="J42">
        <v>86574.046066472307</v>
      </c>
      <c r="K42">
        <v>3.1600489760888402</v>
      </c>
      <c r="L42">
        <f t="shared" si="4"/>
        <v>6.9382410155077778</v>
      </c>
      <c r="M42">
        <f t="shared" si="5"/>
        <v>53.794524545324798</v>
      </c>
      <c r="N42">
        <v>122577.42737357201</v>
      </c>
      <c r="O42">
        <v>2.95196533203125</v>
      </c>
      <c r="P42">
        <f t="shared" si="6"/>
        <v>8.8573796189676912</v>
      </c>
      <c r="Q42">
        <f t="shared" si="7"/>
        <v>68.674253929033597</v>
      </c>
      <c r="R42">
        <v>158582.80709266799</v>
      </c>
      <c r="S42">
        <v>3.1640316741633501</v>
      </c>
      <c r="T42">
        <f t="shared" si="8"/>
        <v>6.9412927733202778</v>
      </c>
      <c r="U42">
        <f t="shared" si="9"/>
        <v>53.805454779142892</v>
      </c>
      <c r="V42">
        <v>194586.19840076799</v>
      </c>
      <c r="W42">
        <v>2.9522705078125</v>
      </c>
      <c r="X42">
        <f t="shared" si="10"/>
        <v>8.86043137678001</v>
      </c>
      <c r="Y42">
        <f t="shared" si="11"/>
        <v>68.681664257044929</v>
      </c>
      <c r="Z42">
        <v>230591.59712686299</v>
      </c>
      <c r="AA42">
        <v>3.1646882644808199</v>
      </c>
      <c r="AB42">
        <f t="shared" si="12"/>
        <v>6.9443445311327778</v>
      </c>
      <c r="AC42">
        <f t="shared" si="13"/>
        <v>53.816379842934111</v>
      </c>
      <c r="AD42">
        <v>266595.02443596302</v>
      </c>
      <c r="AE42">
        <v>2.9534912109375</v>
      </c>
      <c r="AF42">
        <f t="shared" si="14"/>
        <v>8.8634831345924958</v>
      </c>
      <c r="AG42">
        <f t="shared" si="15"/>
        <v>68.689071079954118</v>
      </c>
      <c r="AH42">
        <v>302600.61016505799</v>
      </c>
      <c r="AI42">
        <v>3.1647190903174902</v>
      </c>
      <c r="AJ42">
        <f t="shared" si="16"/>
        <v>6.9470911131640278</v>
      </c>
      <c r="AK42">
        <f t="shared" si="17"/>
        <v>53.826207983005006</v>
      </c>
      <c r="AL42">
        <v>338604.06947415799</v>
      </c>
      <c r="AM42">
        <v>2.95257568359375</v>
      </c>
      <c r="AN42">
        <f t="shared" si="18"/>
        <v>8.8662297166237529</v>
      </c>
      <c r="AO42">
        <f t="shared" si="19"/>
        <v>68.695734225764951</v>
      </c>
    </row>
    <row r="43" spans="1:41" x14ac:dyDescent="0.15">
      <c r="A43" s="1">
        <v>41</v>
      </c>
      <c r="B43">
        <v>14928.943196984799</v>
      </c>
      <c r="C43">
        <v>3.1620249122080102</v>
      </c>
      <c r="D43">
        <f t="shared" si="0"/>
        <v>7.1909206737079074</v>
      </c>
      <c r="E43">
        <f t="shared" si="1"/>
        <v>55.105611404586085</v>
      </c>
      <c r="F43">
        <v>50932.638596084202</v>
      </c>
      <c r="G43">
        <v>2.9486083984375</v>
      </c>
      <c r="H43">
        <f t="shared" si="2"/>
        <v>8.9080446873299337</v>
      </c>
      <c r="I43">
        <f t="shared" si="3"/>
        <v>68.264311510138413</v>
      </c>
      <c r="J43">
        <v>86937.672328180503</v>
      </c>
      <c r="K43">
        <v>3.1593769728534302</v>
      </c>
      <c r="L43">
        <f t="shared" si="4"/>
        <v>7.0392483104267214</v>
      </c>
      <c r="M43">
        <f t="shared" si="5"/>
        <v>54.577668197098951</v>
      </c>
      <c r="N43">
        <v>122941.05363528</v>
      </c>
      <c r="O43">
        <v>2.9510498046875</v>
      </c>
      <c r="P43">
        <f t="shared" si="6"/>
        <v>8.7563723240488045</v>
      </c>
      <c r="Q43">
        <f t="shared" si="7"/>
        <v>67.891110277259884</v>
      </c>
      <c r="R43">
        <v>158946.433354376</v>
      </c>
      <c r="S43">
        <v>3.16365868154202</v>
      </c>
      <c r="T43">
        <f t="shared" si="8"/>
        <v>7.042300068239169</v>
      </c>
      <c r="U43">
        <f t="shared" si="9"/>
        <v>54.588413172716358</v>
      </c>
      <c r="V43">
        <v>194949.82466247599</v>
      </c>
      <c r="W43">
        <v>2.95166015625</v>
      </c>
      <c r="X43">
        <f t="shared" si="10"/>
        <v>8.7594240818611198</v>
      </c>
      <c r="Y43">
        <f t="shared" si="11"/>
        <v>67.898705863471463</v>
      </c>
      <c r="Z43">
        <v>230955.223388571</v>
      </c>
      <c r="AA43">
        <v>3.16568702158298</v>
      </c>
      <c r="AB43">
        <f t="shared" si="12"/>
        <v>7.045351826051669</v>
      </c>
      <c r="AC43">
        <f t="shared" si="13"/>
        <v>54.59915306593485</v>
      </c>
      <c r="AD43">
        <v>266958.65069767099</v>
      </c>
      <c r="AE43">
        <v>2.95257568359375</v>
      </c>
      <c r="AF43">
        <f t="shared" si="14"/>
        <v>8.7624758396736127</v>
      </c>
      <c r="AG43">
        <f t="shared" si="15"/>
        <v>67.906297856953458</v>
      </c>
      <c r="AH43">
        <v>302964.23642676597</v>
      </c>
      <c r="AI43">
        <v>3.1660014451152998</v>
      </c>
      <c r="AJ43">
        <f t="shared" si="16"/>
        <v>7.048098408082911</v>
      </c>
      <c r="AK43">
        <f t="shared" si="17"/>
        <v>54.608814627360402</v>
      </c>
      <c r="AL43">
        <v>338967.69573586597</v>
      </c>
      <c r="AM43">
        <v>2.95196533203125</v>
      </c>
      <c r="AN43">
        <f t="shared" si="18"/>
        <v>8.7652224217048698</v>
      </c>
      <c r="AO43">
        <f t="shared" si="19"/>
        <v>67.913127581409555</v>
      </c>
    </row>
    <row r="44" spans="1:41" x14ac:dyDescent="0.15">
      <c r="A44" s="1">
        <v>42</v>
      </c>
      <c r="B44">
        <v>15292.569458693</v>
      </c>
      <c r="C44">
        <v>3.1626290986032299</v>
      </c>
      <c r="D44">
        <f t="shared" si="0"/>
        <v>7.2919279686268528</v>
      </c>
      <c r="E44">
        <f t="shared" si="1"/>
        <v>55.87965258726566</v>
      </c>
      <c r="F44">
        <v>51296.264857792397</v>
      </c>
      <c r="G44">
        <v>2.947998046875</v>
      </c>
      <c r="H44">
        <f t="shared" si="2"/>
        <v>8.8070373924109919</v>
      </c>
      <c r="I44">
        <f t="shared" si="3"/>
        <v>67.490270327458873</v>
      </c>
      <c r="J44">
        <v>87301.298589888698</v>
      </c>
      <c r="K44">
        <v>3.1607980439157801</v>
      </c>
      <c r="L44">
        <f t="shared" si="4"/>
        <v>7.1402556053456649</v>
      </c>
      <c r="M44">
        <f t="shared" si="5"/>
        <v>55.360811848873105</v>
      </c>
      <c r="N44">
        <v>123304.679896988</v>
      </c>
      <c r="O44">
        <v>2.95013427734375</v>
      </c>
      <c r="P44">
        <f t="shared" si="6"/>
        <v>8.6553650291299142</v>
      </c>
      <c r="Q44">
        <f t="shared" si="7"/>
        <v>67.107966625486142</v>
      </c>
      <c r="R44">
        <v>159310.05961608401</v>
      </c>
      <c r="S44">
        <v>3.16412723425658</v>
      </c>
      <c r="T44">
        <f t="shared" si="8"/>
        <v>7.1433073631580593</v>
      </c>
      <c r="U44">
        <f t="shared" si="9"/>
        <v>55.37137156628981</v>
      </c>
      <c r="V44">
        <v>195313.450924184</v>
      </c>
      <c r="W44">
        <v>2.95074462890625</v>
      </c>
      <c r="X44">
        <f t="shared" si="10"/>
        <v>8.6584167869422295</v>
      </c>
      <c r="Y44">
        <f t="shared" si="11"/>
        <v>67.115747469898011</v>
      </c>
      <c r="Z44">
        <v>231318.84965027901</v>
      </c>
      <c r="AA44">
        <v>3.16537568063446</v>
      </c>
      <c r="AB44">
        <f t="shared" si="12"/>
        <v>7.1463591209705593</v>
      </c>
      <c r="AC44">
        <f t="shared" si="13"/>
        <v>55.381926288935567</v>
      </c>
      <c r="AD44">
        <v>267322.27695937903</v>
      </c>
      <c r="AE44">
        <v>2.95196533203125</v>
      </c>
      <c r="AF44">
        <f t="shared" si="14"/>
        <v>8.6614685447547135</v>
      </c>
      <c r="AG44">
        <f t="shared" si="15"/>
        <v>67.123524633952655</v>
      </c>
      <c r="AH44">
        <v>303327.86268847401</v>
      </c>
      <c r="AI44">
        <v>3.16619873046875</v>
      </c>
      <c r="AJ44">
        <f t="shared" si="16"/>
        <v>7.1491057030018093</v>
      </c>
      <c r="AK44">
        <f t="shared" si="17"/>
        <v>55.391421271715927</v>
      </c>
      <c r="AL44">
        <v>339331.32199757401</v>
      </c>
      <c r="AM44">
        <v>2.9510498046875</v>
      </c>
      <c r="AN44">
        <f t="shared" si="18"/>
        <v>8.6642151267859724</v>
      </c>
      <c r="AO44">
        <f t="shared" si="19"/>
        <v>67.130520937054044</v>
      </c>
    </row>
    <row r="45" spans="1:41" x14ac:dyDescent="0.15">
      <c r="A45" s="1">
        <v>43</v>
      </c>
      <c r="B45">
        <v>15656.1957204012</v>
      </c>
      <c r="C45">
        <v>3.1628633749605402</v>
      </c>
      <c r="D45">
        <f t="shared" si="0"/>
        <v>7.3929352635457963</v>
      </c>
      <c r="E45">
        <f t="shared" si="1"/>
        <v>56.653693769945214</v>
      </c>
      <c r="F45">
        <v>51659.8911195006</v>
      </c>
      <c r="G45">
        <v>2.9473876953125</v>
      </c>
      <c r="H45">
        <f t="shared" si="2"/>
        <v>8.7060300974920466</v>
      </c>
      <c r="I45">
        <f t="shared" si="3"/>
        <v>66.716229144779291</v>
      </c>
      <c r="J45">
        <v>87664.924851596894</v>
      </c>
      <c r="K45">
        <v>3.1607271444917302</v>
      </c>
      <c r="L45">
        <f t="shared" si="4"/>
        <v>7.2412629002646076</v>
      </c>
      <c r="M45">
        <f t="shared" si="5"/>
        <v>56.143955500647245</v>
      </c>
      <c r="N45">
        <v>123668.306158697</v>
      </c>
      <c r="O45">
        <v>2.94952392578125</v>
      </c>
      <c r="P45">
        <f t="shared" si="6"/>
        <v>8.5543577342107469</v>
      </c>
      <c r="Q45">
        <f t="shared" si="7"/>
        <v>66.324822973710269</v>
      </c>
      <c r="R45">
        <v>159673.68587779201</v>
      </c>
      <c r="S45">
        <v>3.1644108319524502</v>
      </c>
      <c r="T45">
        <f t="shared" si="8"/>
        <v>7.2443146580769504</v>
      </c>
      <c r="U45">
        <f t="shared" si="9"/>
        <v>56.154329959863283</v>
      </c>
      <c r="V45">
        <v>195677.07718589201</v>
      </c>
      <c r="W45">
        <v>2.9498291015625</v>
      </c>
      <c r="X45">
        <f t="shared" si="10"/>
        <v>8.5574094920233392</v>
      </c>
      <c r="Y45">
        <f t="shared" si="11"/>
        <v>66.332789076324545</v>
      </c>
      <c r="Z45">
        <v>231682.47591198701</v>
      </c>
      <c r="AA45">
        <v>3.1658719766018999</v>
      </c>
      <c r="AB45">
        <f t="shared" si="12"/>
        <v>7.2473664158894504</v>
      </c>
      <c r="AC45">
        <f t="shared" si="13"/>
        <v>56.164699511936298</v>
      </c>
      <c r="AD45">
        <v>267685.90322108701</v>
      </c>
      <c r="AE45">
        <v>2.9510498046875</v>
      </c>
      <c r="AF45">
        <f t="shared" si="14"/>
        <v>8.5604612498358303</v>
      </c>
      <c r="AG45">
        <f t="shared" si="15"/>
        <v>66.340751410951995</v>
      </c>
      <c r="AH45">
        <v>303691.48895018199</v>
      </c>
      <c r="AI45">
        <v>3.1664823281644199</v>
      </c>
      <c r="AJ45">
        <f t="shared" si="16"/>
        <v>7.2501129979206924</v>
      </c>
      <c r="AK45">
        <f t="shared" si="17"/>
        <v>56.174027916071324</v>
      </c>
      <c r="AL45">
        <v>339694.94825928198</v>
      </c>
      <c r="AM45">
        <v>2.95013427734375</v>
      </c>
      <c r="AN45">
        <f t="shared" si="18"/>
        <v>8.5632078318670892</v>
      </c>
      <c r="AO45">
        <f t="shared" si="19"/>
        <v>66.347914292698647</v>
      </c>
    </row>
    <row r="46" spans="1:41" x14ac:dyDescent="0.15">
      <c r="A46" s="1">
        <v>44</v>
      </c>
      <c r="B46">
        <v>16019.821982109401</v>
      </c>
      <c r="C46">
        <v>3.16331651475695</v>
      </c>
      <c r="D46">
        <f t="shared" si="0"/>
        <v>7.4939425584647417</v>
      </c>
      <c r="E46">
        <f t="shared" si="1"/>
        <v>57.427734952624775</v>
      </c>
      <c r="F46">
        <v>52023.517381208803</v>
      </c>
      <c r="G46">
        <v>2.94647216796875</v>
      </c>
      <c r="H46">
        <f t="shared" si="2"/>
        <v>8.6050228025731013</v>
      </c>
      <c r="I46">
        <f t="shared" si="3"/>
        <v>65.942187962099723</v>
      </c>
      <c r="J46">
        <v>88028.551113305104</v>
      </c>
      <c r="K46">
        <v>3.1612820095484602</v>
      </c>
      <c r="L46">
        <f t="shared" si="4"/>
        <v>7.3422701951835556</v>
      </c>
      <c r="M46">
        <f t="shared" si="5"/>
        <v>56.927099152421434</v>
      </c>
      <c r="N46">
        <v>124031.93242040501</v>
      </c>
      <c r="O46">
        <v>2.9486083984375</v>
      </c>
      <c r="P46">
        <f t="shared" si="6"/>
        <v>8.4533504392918566</v>
      </c>
      <c r="Q46">
        <f t="shared" si="7"/>
        <v>65.541679321936513</v>
      </c>
      <c r="R46">
        <v>160037.31213949999</v>
      </c>
      <c r="S46">
        <v>3.1645711263020702</v>
      </c>
      <c r="T46">
        <f t="shared" si="8"/>
        <v>7.3453219529958327</v>
      </c>
      <c r="U46">
        <f t="shared" si="9"/>
        <v>56.937288353436678</v>
      </c>
      <c r="V46">
        <v>196040.70344760001</v>
      </c>
      <c r="W46">
        <v>2.94891357421875</v>
      </c>
      <c r="X46">
        <f t="shared" si="10"/>
        <v>8.456402197104449</v>
      </c>
      <c r="Y46">
        <f t="shared" si="11"/>
        <v>65.549830682751093</v>
      </c>
      <c r="Z46">
        <v>232046.10217369499</v>
      </c>
      <c r="AA46">
        <v>3.1660291883680598</v>
      </c>
      <c r="AB46">
        <f t="shared" si="12"/>
        <v>7.3483737108083327</v>
      </c>
      <c r="AC46">
        <f t="shared" si="13"/>
        <v>56.947472734936966</v>
      </c>
      <c r="AD46">
        <v>268049.52948279498</v>
      </c>
      <c r="AE46">
        <v>2.95013427734375</v>
      </c>
      <c r="AF46">
        <f t="shared" si="14"/>
        <v>8.459453954916949</v>
      </c>
      <c r="AG46">
        <f t="shared" si="15"/>
        <v>65.557978187951321</v>
      </c>
      <c r="AH46">
        <v>304055.11521189002</v>
      </c>
      <c r="AI46">
        <v>3.1663682725696098</v>
      </c>
      <c r="AJ46">
        <f t="shared" si="16"/>
        <v>7.3511202928395907</v>
      </c>
      <c r="AK46">
        <f t="shared" si="17"/>
        <v>56.956634560426842</v>
      </c>
      <c r="AL46">
        <v>340058.57452099002</v>
      </c>
      <c r="AM46">
        <v>2.94921875</v>
      </c>
      <c r="AN46">
        <f t="shared" si="18"/>
        <v>8.4622005369481901</v>
      </c>
      <c r="AO46">
        <f t="shared" si="19"/>
        <v>65.565307648343122</v>
      </c>
    </row>
    <row r="47" spans="1:41" x14ac:dyDescent="0.15">
      <c r="A47" s="1">
        <v>45</v>
      </c>
      <c r="B47">
        <v>16383.4482438176</v>
      </c>
      <c r="C47">
        <v>3.1640625</v>
      </c>
      <c r="D47">
        <f t="shared" si="0"/>
        <v>7.5949498533836861</v>
      </c>
      <c r="E47">
        <f t="shared" si="1"/>
        <v>58.201776135304343</v>
      </c>
      <c r="F47">
        <v>52387.143642916999</v>
      </c>
      <c r="G47">
        <v>2.94586181640625</v>
      </c>
      <c r="H47">
        <f t="shared" si="2"/>
        <v>8.5040155076541577</v>
      </c>
      <c r="I47">
        <f t="shared" si="3"/>
        <v>65.168146779420184</v>
      </c>
      <c r="J47">
        <v>88392.1773750133</v>
      </c>
      <c r="K47">
        <v>3.1613714044745</v>
      </c>
      <c r="L47">
        <f t="shared" si="4"/>
        <v>7.4432774901024983</v>
      </c>
      <c r="M47">
        <f t="shared" si="5"/>
        <v>57.710242804195587</v>
      </c>
      <c r="N47">
        <v>124395.558682113</v>
      </c>
      <c r="O47">
        <v>2.94769287109375</v>
      </c>
      <c r="P47">
        <f t="shared" si="6"/>
        <v>8.3523431443729699</v>
      </c>
      <c r="Q47">
        <f t="shared" si="7"/>
        <v>64.758535670162814</v>
      </c>
      <c r="R47">
        <v>160400.93840120899</v>
      </c>
      <c r="S47">
        <v>3.1652277166192602</v>
      </c>
      <c r="T47">
        <f t="shared" si="8"/>
        <v>7.4463292479149983</v>
      </c>
      <c r="U47">
        <f t="shared" si="9"/>
        <v>57.720246747012261</v>
      </c>
      <c r="V47">
        <v>196404.32970930901</v>
      </c>
      <c r="W47">
        <v>2.947998046875</v>
      </c>
      <c r="X47">
        <f t="shared" si="10"/>
        <v>8.3553949021852816</v>
      </c>
      <c r="Y47">
        <f t="shared" si="11"/>
        <v>64.766872289175495</v>
      </c>
      <c r="Z47">
        <v>232409.72843540399</v>
      </c>
      <c r="AA47">
        <v>3.16619873046875</v>
      </c>
      <c r="AB47">
        <f t="shared" si="12"/>
        <v>7.4493810057274983</v>
      </c>
      <c r="AC47">
        <f t="shared" si="13"/>
        <v>57.730245957939829</v>
      </c>
      <c r="AD47">
        <v>268413.15574450401</v>
      </c>
      <c r="AE47">
        <v>2.94921875</v>
      </c>
      <c r="AF47">
        <f t="shared" si="14"/>
        <v>8.3584466599977745</v>
      </c>
      <c r="AG47">
        <f t="shared" si="15"/>
        <v>64.775204964948401</v>
      </c>
      <c r="AH47">
        <v>304418.74147359899</v>
      </c>
      <c r="AI47">
        <v>3.1665593927557998</v>
      </c>
      <c r="AJ47">
        <f t="shared" si="16"/>
        <v>7.4521275877587483</v>
      </c>
      <c r="AK47">
        <f t="shared" si="17"/>
        <v>57.739241204784378</v>
      </c>
      <c r="AL47">
        <v>340422.20078269899</v>
      </c>
      <c r="AM47">
        <v>2.9486083984375</v>
      </c>
      <c r="AN47">
        <f t="shared" si="18"/>
        <v>8.3611932420290316</v>
      </c>
      <c r="AO47">
        <f t="shared" si="19"/>
        <v>64.782701003985579</v>
      </c>
    </row>
    <row r="48" spans="1:41" x14ac:dyDescent="0.15">
      <c r="A48" s="1">
        <v>46</v>
      </c>
      <c r="B48">
        <v>16747.074505525801</v>
      </c>
      <c r="C48">
        <v>3.1646728515625</v>
      </c>
      <c r="D48">
        <f t="shared" si="0"/>
        <v>7.6959571483026297</v>
      </c>
      <c r="E48">
        <f t="shared" si="1"/>
        <v>58.975817317983889</v>
      </c>
      <c r="F48">
        <v>52750.769904625202</v>
      </c>
      <c r="G48">
        <v>2.94525146484375</v>
      </c>
      <c r="H48">
        <f t="shared" si="2"/>
        <v>8.4030082127352124</v>
      </c>
      <c r="I48">
        <f t="shared" si="3"/>
        <v>64.394105596740602</v>
      </c>
      <c r="J48">
        <v>88755.803636721495</v>
      </c>
      <c r="K48">
        <v>3.1624194829152099</v>
      </c>
      <c r="L48">
        <f t="shared" si="4"/>
        <v>7.5442847850214418</v>
      </c>
      <c r="M48">
        <f t="shared" si="5"/>
        <v>58.493386455969741</v>
      </c>
      <c r="N48">
        <v>124759.184943821</v>
      </c>
      <c r="O48">
        <v>2.94677734375</v>
      </c>
      <c r="P48">
        <f t="shared" si="6"/>
        <v>8.2513358494540796</v>
      </c>
      <c r="Q48">
        <f t="shared" si="7"/>
        <v>63.975392018389066</v>
      </c>
      <c r="R48">
        <v>160764.56466291699</v>
      </c>
      <c r="S48">
        <v>3.1652246340357202</v>
      </c>
      <c r="T48">
        <f t="shared" si="8"/>
        <v>7.5473365428338894</v>
      </c>
      <c r="U48">
        <f t="shared" si="9"/>
        <v>58.503205140585735</v>
      </c>
      <c r="V48">
        <v>196767.95597101701</v>
      </c>
      <c r="W48">
        <v>2.94708251953125</v>
      </c>
      <c r="X48">
        <f t="shared" si="10"/>
        <v>8.2543876072663913</v>
      </c>
      <c r="Y48">
        <f t="shared" si="11"/>
        <v>63.983913895602029</v>
      </c>
      <c r="Z48">
        <v>232773.35469711199</v>
      </c>
      <c r="AA48">
        <v>3.1667505129419702</v>
      </c>
      <c r="AB48">
        <f t="shared" si="12"/>
        <v>7.5503883006463894</v>
      </c>
      <c r="AC48">
        <f t="shared" si="13"/>
        <v>58.51301918094056</v>
      </c>
      <c r="AD48">
        <v>268776.78200621199</v>
      </c>
      <c r="AE48">
        <v>2.94830322265625</v>
      </c>
      <c r="AF48">
        <f t="shared" si="14"/>
        <v>8.2574393650788913</v>
      </c>
      <c r="AG48">
        <f t="shared" si="15"/>
        <v>63.992431741947733</v>
      </c>
      <c r="AH48">
        <v>304782.36773530702</v>
      </c>
      <c r="AI48">
        <v>3.16680908203125</v>
      </c>
      <c r="AJ48">
        <f t="shared" si="16"/>
        <v>7.5531348826776474</v>
      </c>
      <c r="AK48">
        <f t="shared" si="17"/>
        <v>58.521847849139895</v>
      </c>
      <c r="AL48">
        <v>340785.82704440702</v>
      </c>
      <c r="AM48">
        <v>2.94769287109375</v>
      </c>
      <c r="AN48">
        <f t="shared" si="18"/>
        <v>8.2601859471101342</v>
      </c>
      <c r="AO48">
        <f t="shared" si="19"/>
        <v>64.000094359630069</v>
      </c>
    </row>
    <row r="49" spans="1:41" x14ac:dyDescent="0.15">
      <c r="A49" s="1">
        <v>47</v>
      </c>
      <c r="B49">
        <v>17110.700767234001</v>
      </c>
      <c r="C49">
        <v>3.1648454762468399</v>
      </c>
      <c r="D49">
        <f t="shared" si="0"/>
        <v>7.7969644432215741</v>
      </c>
      <c r="E49">
        <f t="shared" si="1"/>
        <v>59.749858500663457</v>
      </c>
      <c r="F49">
        <v>53114.396166333398</v>
      </c>
      <c r="G49">
        <v>2.9443359375</v>
      </c>
      <c r="H49">
        <f t="shared" si="2"/>
        <v>8.3020009178162688</v>
      </c>
      <c r="I49">
        <f t="shared" si="3"/>
        <v>63.620064414061048</v>
      </c>
      <c r="J49">
        <v>89119.429898429706</v>
      </c>
      <c r="K49">
        <v>3.1628818704622899</v>
      </c>
      <c r="L49">
        <f t="shared" si="4"/>
        <v>7.645292079940389</v>
      </c>
      <c r="M49">
        <f t="shared" si="5"/>
        <v>59.276530107743916</v>
      </c>
      <c r="N49">
        <v>125122.811205529</v>
      </c>
      <c r="O49">
        <v>2.94586181640625</v>
      </c>
      <c r="P49">
        <f t="shared" si="6"/>
        <v>8.1503285545351929</v>
      </c>
      <c r="Q49">
        <f t="shared" si="7"/>
        <v>63.192248366615352</v>
      </c>
      <c r="R49">
        <v>161128.190924625</v>
      </c>
      <c r="S49">
        <v>3.1654558278093399</v>
      </c>
      <c r="T49">
        <f t="shared" si="8"/>
        <v>7.6483438377527797</v>
      </c>
      <c r="U49">
        <f t="shared" si="9"/>
        <v>59.286163534159186</v>
      </c>
      <c r="V49">
        <v>197131.58223272499</v>
      </c>
      <c r="W49">
        <v>2.9461669921875</v>
      </c>
      <c r="X49">
        <f t="shared" si="10"/>
        <v>8.1533803123475082</v>
      </c>
      <c r="Y49">
        <f t="shared" si="11"/>
        <v>63.20095550202862</v>
      </c>
      <c r="Z49">
        <v>233136.98095882</v>
      </c>
      <c r="AA49">
        <v>3.16707418422506</v>
      </c>
      <c r="AB49">
        <f t="shared" si="12"/>
        <v>7.6513955955652797</v>
      </c>
      <c r="AC49">
        <f t="shared" si="13"/>
        <v>59.295792403941284</v>
      </c>
      <c r="AD49">
        <v>269140.40826792002</v>
      </c>
      <c r="AE49">
        <v>2.9473876953125</v>
      </c>
      <c r="AF49">
        <f t="shared" si="14"/>
        <v>8.1564320701599939</v>
      </c>
      <c r="AG49">
        <f t="shared" si="15"/>
        <v>63.209658518946952</v>
      </c>
      <c r="AH49">
        <v>305145.993997015</v>
      </c>
      <c r="AI49">
        <v>3.1678571604718901</v>
      </c>
      <c r="AJ49">
        <f t="shared" si="16"/>
        <v>7.6541421775965297</v>
      </c>
      <c r="AK49">
        <f t="shared" si="17"/>
        <v>59.304454493495292</v>
      </c>
      <c r="AL49">
        <v>341149.453306115</v>
      </c>
      <c r="AM49">
        <v>2.94677734375</v>
      </c>
      <c r="AN49">
        <f t="shared" si="18"/>
        <v>8.159178652191251</v>
      </c>
      <c r="AO49">
        <f t="shared" si="19"/>
        <v>63.217487715274665</v>
      </c>
    </row>
    <row r="50" spans="1:41" x14ac:dyDescent="0.15">
      <c r="A50" s="1">
        <v>48</v>
      </c>
      <c r="B50">
        <v>17474.3270289422</v>
      </c>
      <c r="C50">
        <v>3.1650335138494499</v>
      </c>
      <c r="D50">
        <f t="shared" si="0"/>
        <v>7.8979717381405186</v>
      </c>
      <c r="E50">
        <f t="shared" si="1"/>
        <v>60.523899683343018</v>
      </c>
      <c r="F50">
        <v>53478.022428041601</v>
      </c>
      <c r="G50">
        <v>2.9437255859375</v>
      </c>
      <c r="H50">
        <f t="shared" si="2"/>
        <v>8.2009936228973253</v>
      </c>
      <c r="I50">
        <f t="shared" si="3"/>
        <v>62.846023231381501</v>
      </c>
      <c r="J50">
        <v>89483.056160137901</v>
      </c>
      <c r="K50">
        <v>3.16289728338087</v>
      </c>
      <c r="L50">
        <f t="shared" si="4"/>
        <v>7.7462993748593325</v>
      </c>
      <c r="M50">
        <f t="shared" si="5"/>
        <v>60.05967375951807</v>
      </c>
      <c r="N50">
        <v>125486.43746723801</v>
      </c>
      <c r="O50">
        <v>2.9449462890625</v>
      </c>
      <c r="P50">
        <f t="shared" si="6"/>
        <v>8.0493212596160237</v>
      </c>
      <c r="Q50">
        <f t="shared" si="7"/>
        <v>62.409104714839444</v>
      </c>
      <c r="R50">
        <v>161491.81718633301</v>
      </c>
      <c r="S50">
        <v>3.1661617394651</v>
      </c>
      <c r="T50">
        <f t="shared" si="8"/>
        <v>7.7493511326716709</v>
      </c>
      <c r="U50">
        <f t="shared" si="9"/>
        <v>60.069121927732652</v>
      </c>
      <c r="V50">
        <v>197495.208494433</v>
      </c>
      <c r="W50">
        <v>2.94525146484375</v>
      </c>
      <c r="X50">
        <f t="shared" si="10"/>
        <v>8.0523730174286179</v>
      </c>
      <c r="Y50">
        <f t="shared" si="11"/>
        <v>62.417997108455168</v>
      </c>
      <c r="Z50">
        <v>233500.60722052801</v>
      </c>
      <c r="AA50">
        <v>3.16707726680885</v>
      </c>
      <c r="AB50">
        <f t="shared" si="12"/>
        <v>7.7524028904841709</v>
      </c>
      <c r="AC50">
        <f t="shared" si="13"/>
        <v>60.078565626942016</v>
      </c>
      <c r="AD50">
        <v>269504.034529628</v>
      </c>
      <c r="AE50">
        <v>2.94647216796875</v>
      </c>
      <c r="AF50">
        <f t="shared" si="14"/>
        <v>8.0554247752411108</v>
      </c>
      <c r="AG50">
        <f t="shared" si="15"/>
        <v>62.426885295946278</v>
      </c>
      <c r="AH50">
        <v>305509.62025872298</v>
      </c>
      <c r="AI50">
        <v>3.167724609375</v>
      </c>
      <c r="AJ50">
        <f t="shared" si="16"/>
        <v>7.7551494725154129</v>
      </c>
      <c r="AK50">
        <f t="shared" si="17"/>
        <v>60.087061137850696</v>
      </c>
      <c r="AL50">
        <v>341513.07956782298</v>
      </c>
      <c r="AM50">
        <v>2.94586181640625</v>
      </c>
      <c r="AN50">
        <f t="shared" si="18"/>
        <v>8.0581713572723679</v>
      </c>
      <c r="AO50">
        <f t="shared" si="19"/>
        <v>62.434881070919268</v>
      </c>
    </row>
    <row r="51" spans="1:41" x14ac:dyDescent="0.15">
      <c r="A51" s="1">
        <v>49</v>
      </c>
      <c r="B51">
        <v>17837.953290650399</v>
      </c>
      <c r="C51">
        <v>3.1658935546875</v>
      </c>
      <c r="D51">
        <f t="shared" si="0"/>
        <v>7.998979033059463</v>
      </c>
      <c r="E51">
        <f t="shared" si="1"/>
        <v>61.297940866022586</v>
      </c>
      <c r="F51">
        <v>53841.648689749803</v>
      </c>
      <c r="G51">
        <v>2.94281005859375</v>
      </c>
      <c r="H51">
        <f t="shared" si="2"/>
        <v>8.0999863279783781</v>
      </c>
      <c r="I51">
        <f t="shared" si="3"/>
        <v>62.071982048701912</v>
      </c>
      <c r="J51">
        <v>89846.682421846097</v>
      </c>
      <c r="K51">
        <v>3.1639669399069601</v>
      </c>
      <c r="L51">
        <f t="shared" si="4"/>
        <v>7.8473066697782752</v>
      </c>
      <c r="M51">
        <f t="shared" si="5"/>
        <v>60.842817411292216</v>
      </c>
      <c r="N51">
        <v>125850.063728946</v>
      </c>
      <c r="O51">
        <v>2.9441263218118401</v>
      </c>
      <c r="P51">
        <f t="shared" si="6"/>
        <v>7.948313964697137</v>
      </c>
      <c r="Q51">
        <f t="shared" si="7"/>
        <v>61.625961063065738</v>
      </c>
      <c r="R51">
        <v>161855.44344804101</v>
      </c>
      <c r="S51">
        <v>3.1663127860636999</v>
      </c>
      <c r="T51">
        <f t="shared" si="8"/>
        <v>7.8503584275905611</v>
      </c>
      <c r="U51">
        <f t="shared" si="9"/>
        <v>60.852080321306111</v>
      </c>
      <c r="V51">
        <v>197858.834756141</v>
      </c>
      <c r="W51">
        <v>2.9443359375</v>
      </c>
      <c r="X51">
        <f t="shared" si="10"/>
        <v>7.9513657225097276</v>
      </c>
      <c r="Y51">
        <f t="shared" si="11"/>
        <v>61.635038714881709</v>
      </c>
      <c r="Z51">
        <v>233864.23348223601</v>
      </c>
      <c r="AA51">
        <v>3.16762904928185</v>
      </c>
      <c r="AB51">
        <f t="shared" si="12"/>
        <v>7.8534101854030611</v>
      </c>
      <c r="AC51">
        <f t="shared" si="13"/>
        <v>60.861338849942747</v>
      </c>
      <c r="AD51">
        <v>269867.66079133598</v>
      </c>
      <c r="AE51">
        <v>2.945556640625</v>
      </c>
      <c r="AF51">
        <f t="shared" si="14"/>
        <v>7.9544174803222276</v>
      </c>
      <c r="AG51">
        <f t="shared" si="15"/>
        <v>61.64411207294561</v>
      </c>
      <c r="AH51">
        <v>305873.24652043101</v>
      </c>
      <c r="AI51">
        <v>3.1678201694679302</v>
      </c>
      <c r="AJ51">
        <f t="shared" si="16"/>
        <v>7.8561567674343111</v>
      </c>
      <c r="AK51">
        <f t="shared" si="17"/>
        <v>60.869667782206214</v>
      </c>
      <c r="AL51">
        <v>341876.70582953101</v>
      </c>
      <c r="AM51">
        <v>2.9449462890625</v>
      </c>
      <c r="AN51">
        <f t="shared" si="18"/>
        <v>7.9571640623534696</v>
      </c>
      <c r="AO51">
        <f t="shared" si="19"/>
        <v>61.65227442656375</v>
      </c>
    </row>
    <row r="52" spans="1:41" x14ac:dyDescent="0.15">
      <c r="A52" s="1">
        <v>50</v>
      </c>
      <c r="B52">
        <v>18201.579552358598</v>
      </c>
      <c r="C52">
        <v>3.1671327533143798</v>
      </c>
      <c r="D52">
        <f t="shared" si="0"/>
        <v>8.0999863279784066</v>
      </c>
      <c r="E52">
        <f t="shared" si="1"/>
        <v>62.071982048702132</v>
      </c>
      <c r="F52">
        <v>54205.274951457999</v>
      </c>
      <c r="G52">
        <v>2.94219970703125</v>
      </c>
      <c r="H52">
        <f t="shared" si="2"/>
        <v>7.9989790330594355</v>
      </c>
      <c r="I52">
        <f t="shared" si="3"/>
        <v>61.297940866022373</v>
      </c>
      <c r="J52">
        <v>90210.308683554307</v>
      </c>
      <c r="K52">
        <v>3.16436767578125</v>
      </c>
      <c r="L52">
        <f t="shared" si="4"/>
        <v>7.9483139646972223</v>
      </c>
      <c r="M52">
        <f t="shared" si="5"/>
        <v>61.625961063066406</v>
      </c>
      <c r="N52">
        <v>126213.68999065401</v>
      </c>
      <c r="O52">
        <v>2.9432107944680901</v>
      </c>
      <c r="P52">
        <f t="shared" si="6"/>
        <v>7.8473066697782468</v>
      </c>
      <c r="Q52">
        <f t="shared" si="7"/>
        <v>60.842817411291996</v>
      </c>
      <c r="R52">
        <v>162219.06970975001</v>
      </c>
      <c r="S52">
        <v>3.1670186977192598</v>
      </c>
      <c r="T52">
        <f t="shared" si="8"/>
        <v>7.9513657225097267</v>
      </c>
      <c r="U52">
        <f t="shared" si="9"/>
        <v>61.635038714881709</v>
      </c>
      <c r="V52">
        <v>198222.46101785</v>
      </c>
      <c r="W52">
        <v>2.94342041015625</v>
      </c>
      <c r="X52">
        <f t="shared" si="10"/>
        <v>7.850358427590562</v>
      </c>
      <c r="Y52">
        <f t="shared" si="11"/>
        <v>60.852080321306126</v>
      </c>
      <c r="Z52">
        <v>234227.85974394501</v>
      </c>
      <c r="AA52">
        <v>3.1679342250631</v>
      </c>
      <c r="AB52">
        <f t="shared" si="12"/>
        <v>7.9544174803222267</v>
      </c>
      <c r="AC52">
        <f t="shared" si="13"/>
        <v>61.644112072945603</v>
      </c>
      <c r="AD52">
        <v>270231.287053045</v>
      </c>
      <c r="AE52">
        <v>2.94464111328125</v>
      </c>
      <c r="AF52">
        <f t="shared" si="14"/>
        <v>7.853410185403054</v>
      </c>
      <c r="AG52">
        <f t="shared" si="15"/>
        <v>60.86133884994269</v>
      </c>
      <c r="AH52">
        <v>306236.87278213998</v>
      </c>
      <c r="AI52">
        <v>3.16823940084427</v>
      </c>
      <c r="AJ52">
        <f t="shared" si="16"/>
        <v>7.9571640623534687</v>
      </c>
      <c r="AK52">
        <f t="shared" si="17"/>
        <v>61.652274426563736</v>
      </c>
      <c r="AL52">
        <v>342240.33209123998</v>
      </c>
      <c r="AM52">
        <v>2.94403076171875</v>
      </c>
      <c r="AN52">
        <f t="shared" si="18"/>
        <v>7.856156767434312</v>
      </c>
      <c r="AO52">
        <f t="shared" si="19"/>
        <v>60.869667782206214</v>
      </c>
    </row>
    <row r="53" spans="1:41" x14ac:dyDescent="0.15">
      <c r="A53" s="1">
        <v>51</v>
      </c>
      <c r="B53">
        <v>18565.205814066801</v>
      </c>
      <c r="C53">
        <v>3.16740093809186</v>
      </c>
      <c r="D53">
        <f t="shared" si="0"/>
        <v>8.2009936228973519</v>
      </c>
      <c r="E53">
        <f t="shared" si="1"/>
        <v>62.8460232313817</v>
      </c>
      <c r="F53">
        <v>54568.9012131661</v>
      </c>
      <c r="G53">
        <v>2.94157085996686</v>
      </c>
      <c r="H53">
        <f t="shared" si="2"/>
        <v>7.8979717381405186</v>
      </c>
      <c r="I53">
        <f t="shared" si="3"/>
        <v>60.523899683343018</v>
      </c>
      <c r="J53">
        <v>90573.934945262401</v>
      </c>
      <c r="K53">
        <v>3.1643861712830499</v>
      </c>
      <c r="L53">
        <f t="shared" si="4"/>
        <v>8.0493212596161374</v>
      </c>
      <c r="M53">
        <f t="shared" si="5"/>
        <v>62.409104714840339</v>
      </c>
      <c r="N53">
        <v>126577.316252362</v>
      </c>
      <c r="O53">
        <v>2.94219970703125</v>
      </c>
      <c r="P53">
        <f t="shared" si="6"/>
        <v>7.74629937485936</v>
      </c>
      <c r="Q53">
        <f t="shared" si="7"/>
        <v>60.059673759518283</v>
      </c>
      <c r="R53">
        <v>162582.69597145799</v>
      </c>
      <c r="S53">
        <v>3.1673824425900801</v>
      </c>
      <c r="T53">
        <f t="shared" si="8"/>
        <v>8.052373017428609</v>
      </c>
      <c r="U53">
        <f t="shared" si="9"/>
        <v>62.417997108455104</v>
      </c>
      <c r="V53">
        <v>198586.08727955801</v>
      </c>
      <c r="W53">
        <v>2.9425048828125</v>
      </c>
      <c r="X53">
        <f t="shared" si="10"/>
        <v>7.7493511326716717</v>
      </c>
      <c r="Y53">
        <f t="shared" si="11"/>
        <v>60.06912192773266</v>
      </c>
      <c r="Z53">
        <v>234591.48600565299</v>
      </c>
      <c r="AA53">
        <v>3.16802978515625</v>
      </c>
      <c r="AB53">
        <f t="shared" si="12"/>
        <v>8.055424775241109</v>
      </c>
      <c r="AC53">
        <f t="shared" si="13"/>
        <v>62.426885295946263</v>
      </c>
      <c r="AD53">
        <v>270594.91331475298</v>
      </c>
      <c r="AE53">
        <v>2.9437255859375</v>
      </c>
      <c r="AF53">
        <f t="shared" si="14"/>
        <v>7.7524028904841717</v>
      </c>
      <c r="AG53">
        <f t="shared" si="15"/>
        <v>60.078565626942023</v>
      </c>
      <c r="AH53">
        <v>306600.49904384802</v>
      </c>
      <c r="AI53">
        <v>3.16888982599452</v>
      </c>
      <c r="AJ53">
        <f t="shared" si="16"/>
        <v>8.0581713572723679</v>
      </c>
      <c r="AK53">
        <f t="shared" si="17"/>
        <v>62.434881070919268</v>
      </c>
      <c r="AL53">
        <v>342603.95835294802</v>
      </c>
      <c r="AM53">
        <v>2.94281005859375</v>
      </c>
      <c r="AN53">
        <f t="shared" si="18"/>
        <v>7.7551494725154129</v>
      </c>
      <c r="AO53">
        <f t="shared" si="19"/>
        <v>60.087061137850696</v>
      </c>
    </row>
    <row r="54" spans="1:41" x14ac:dyDescent="0.15">
      <c r="A54" s="1">
        <v>52</v>
      </c>
      <c r="B54">
        <v>18928.832075775001</v>
      </c>
      <c r="C54">
        <v>3.16768453578756</v>
      </c>
      <c r="D54">
        <f t="shared" si="0"/>
        <v>8.3020009178162972</v>
      </c>
      <c r="E54">
        <f t="shared" si="1"/>
        <v>63.620064414061275</v>
      </c>
      <c r="F54">
        <v>54932.527474874303</v>
      </c>
      <c r="G54">
        <v>2.940673828125</v>
      </c>
      <c r="H54">
        <f t="shared" si="2"/>
        <v>7.7969644432215732</v>
      </c>
      <c r="I54">
        <f t="shared" si="3"/>
        <v>59.749858500663457</v>
      </c>
      <c r="J54">
        <v>90937.561206970699</v>
      </c>
      <c r="K54">
        <v>3.1652431295374002</v>
      </c>
      <c r="L54">
        <f t="shared" si="4"/>
        <v>8.1503285545351094</v>
      </c>
      <c r="M54">
        <f t="shared" si="5"/>
        <v>63.192248366614699</v>
      </c>
      <c r="N54">
        <v>126940.94251407099</v>
      </c>
      <c r="O54">
        <v>2.9412841796875</v>
      </c>
      <c r="P54">
        <f t="shared" si="6"/>
        <v>7.6452920799401944</v>
      </c>
      <c r="Q54">
        <f t="shared" si="7"/>
        <v>59.27653010774241</v>
      </c>
      <c r="R54">
        <v>162946.32223316599</v>
      </c>
      <c r="S54">
        <v>3.1682024098405899</v>
      </c>
      <c r="T54">
        <f t="shared" si="8"/>
        <v>8.153380312347501</v>
      </c>
      <c r="U54">
        <f t="shared" si="9"/>
        <v>63.200955502028577</v>
      </c>
      <c r="V54">
        <v>198949.71354126601</v>
      </c>
      <c r="W54">
        <v>2.94158935546875</v>
      </c>
      <c r="X54">
        <f t="shared" si="10"/>
        <v>7.6483438377527806</v>
      </c>
      <c r="Y54">
        <f t="shared" si="11"/>
        <v>59.286163534159201</v>
      </c>
      <c r="Z54">
        <v>234955.11226736099</v>
      </c>
      <c r="AA54">
        <v>3.1685075856218399</v>
      </c>
      <c r="AB54">
        <f t="shared" si="12"/>
        <v>8.156432070160001</v>
      </c>
      <c r="AC54">
        <f t="shared" si="13"/>
        <v>63.209658518947009</v>
      </c>
      <c r="AD54">
        <v>270958.53957646101</v>
      </c>
      <c r="AE54">
        <v>2.94281005859375</v>
      </c>
      <c r="AF54">
        <f t="shared" si="14"/>
        <v>7.6513955955652726</v>
      </c>
      <c r="AG54">
        <f t="shared" si="15"/>
        <v>59.295792403941228</v>
      </c>
      <c r="AH54">
        <v>306964.12530555599</v>
      </c>
      <c r="AI54">
        <v>3.1692905618687002</v>
      </c>
      <c r="AJ54">
        <f t="shared" si="16"/>
        <v>8.159178652191251</v>
      </c>
      <c r="AK54">
        <f t="shared" si="17"/>
        <v>63.217487715274665</v>
      </c>
      <c r="AL54">
        <v>342967.58461465599</v>
      </c>
      <c r="AM54">
        <v>2.94189453125</v>
      </c>
      <c r="AN54">
        <f t="shared" si="18"/>
        <v>7.6541421775965306</v>
      </c>
      <c r="AO54">
        <f t="shared" si="19"/>
        <v>59.304454493495292</v>
      </c>
    </row>
    <row r="55" spans="1:41" x14ac:dyDescent="0.15">
      <c r="A55" s="1">
        <v>53</v>
      </c>
      <c r="B55">
        <v>19292.4583374832</v>
      </c>
      <c r="C55">
        <v>3.1688281743213298</v>
      </c>
      <c r="D55">
        <f t="shared" si="0"/>
        <v>8.4030082127352408</v>
      </c>
      <c r="E55">
        <f t="shared" si="1"/>
        <v>64.394105596740829</v>
      </c>
      <c r="F55">
        <v>55296.153736582499</v>
      </c>
      <c r="G55">
        <v>2.9400634765625</v>
      </c>
      <c r="H55">
        <f t="shared" si="2"/>
        <v>7.6959571483026306</v>
      </c>
      <c r="I55">
        <f t="shared" si="3"/>
        <v>58.975817317983903</v>
      </c>
      <c r="J55">
        <v>91301.187468678894</v>
      </c>
      <c r="K55">
        <v>3.1658349855980701</v>
      </c>
      <c r="L55">
        <f t="shared" si="4"/>
        <v>8.2513358494540512</v>
      </c>
      <c r="M55">
        <f t="shared" si="5"/>
        <v>63.975392018388845</v>
      </c>
      <c r="N55">
        <v>127304.568775779</v>
      </c>
      <c r="O55">
        <v>2.94036865234375</v>
      </c>
      <c r="P55">
        <f t="shared" si="6"/>
        <v>7.5442847850213033</v>
      </c>
      <c r="Q55">
        <f t="shared" si="7"/>
        <v>58.493386455968668</v>
      </c>
      <c r="R55">
        <v>163309.948494874</v>
      </c>
      <c r="S55">
        <v>3.1685815676294702</v>
      </c>
      <c r="T55">
        <f t="shared" si="8"/>
        <v>8.2543876072663913</v>
      </c>
      <c r="U55">
        <f t="shared" si="9"/>
        <v>63.983913895602029</v>
      </c>
      <c r="V55">
        <v>199313.33980297399</v>
      </c>
      <c r="W55">
        <v>2.94036865234375</v>
      </c>
      <c r="X55">
        <f t="shared" si="10"/>
        <v>7.5473365428338983</v>
      </c>
      <c r="Y55">
        <f t="shared" si="11"/>
        <v>58.503205140585798</v>
      </c>
      <c r="Z55">
        <v>235318.738529069</v>
      </c>
      <c r="AA55">
        <v>3.1688744130758799</v>
      </c>
      <c r="AB55">
        <f t="shared" si="12"/>
        <v>8.2574393650788913</v>
      </c>
      <c r="AC55">
        <f t="shared" si="13"/>
        <v>63.992431741947733</v>
      </c>
      <c r="AD55">
        <v>271322.16583816899</v>
      </c>
      <c r="AE55">
        <v>2.94189453125</v>
      </c>
      <c r="AF55">
        <f t="shared" si="14"/>
        <v>7.5503883006463903</v>
      </c>
      <c r="AG55">
        <f t="shared" si="15"/>
        <v>58.513019180940574</v>
      </c>
      <c r="AH55">
        <v>307327.75156726397</v>
      </c>
      <c r="AI55">
        <v>3.1698022707542299</v>
      </c>
      <c r="AJ55">
        <f t="shared" si="16"/>
        <v>8.2601859471101324</v>
      </c>
      <c r="AK55">
        <f t="shared" si="17"/>
        <v>64.000094359630054</v>
      </c>
      <c r="AL55">
        <v>343331.21087636403</v>
      </c>
      <c r="AM55">
        <v>2.94097900390625</v>
      </c>
      <c r="AN55">
        <f t="shared" si="18"/>
        <v>7.5531348826776323</v>
      </c>
      <c r="AO55">
        <f t="shared" si="19"/>
        <v>58.521847849139789</v>
      </c>
    </row>
    <row r="56" spans="1:41" x14ac:dyDescent="0.15">
      <c r="A56" s="1">
        <v>54</v>
      </c>
      <c r="B56">
        <v>19656.084599191301</v>
      </c>
      <c r="C56">
        <v>3.1691395152698898</v>
      </c>
      <c r="D56">
        <f t="shared" si="0"/>
        <v>8.5040155076541577</v>
      </c>
      <c r="E56">
        <f t="shared" si="1"/>
        <v>65.168146779420184</v>
      </c>
      <c r="F56">
        <v>55659.779998290702</v>
      </c>
      <c r="G56">
        <v>2.93914794921875</v>
      </c>
      <c r="H56">
        <f t="shared" si="2"/>
        <v>7.5949498533836852</v>
      </c>
      <c r="I56">
        <f t="shared" si="3"/>
        <v>58.201776135304343</v>
      </c>
      <c r="J56">
        <v>91664.813730387104</v>
      </c>
      <c r="K56">
        <v>3.16680908203125</v>
      </c>
      <c r="L56">
        <f t="shared" si="4"/>
        <v>8.3523431443730001</v>
      </c>
      <c r="M56">
        <f t="shared" si="5"/>
        <v>64.758535670163042</v>
      </c>
      <c r="N56">
        <v>127668.19503748701</v>
      </c>
      <c r="O56">
        <v>2.939453125</v>
      </c>
      <c r="P56">
        <f t="shared" si="6"/>
        <v>7.443277490102413</v>
      </c>
      <c r="Q56">
        <f t="shared" si="7"/>
        <v>57.71024280419492</v>
      </c>
      <c r="R56">
        <v>163673.57475658201</v>
      </c>
      <c r="S56">
        <v>3.1687511097297398</v>
      </c>
      <c r="T56">
        <f t="shared" si="8"/>
        <v>8.3553949021852816</v>
      </c>
      <c r="U56">
        <f t="shared" si="9"/>
        <v>64.766872289175495</v>
      </c>
      <c r="V56">
        <v>199676.966064682</v>
      </c>
      <c r="W56">
        <v>2.939453125</v>
      </c>
      <c r="X56">
        <f t="shared" si="10"/>
        <v>7.4463292479150072</v>
      </c>
      <c r="Y56">
        <f t="shared" si="11"/>
        <v>57.720246747012339</v>
      </c>
      <c r="Z56">
        <v>235682.36479077701</v>
      </c>
      <c r="AA56">
        <v>3.1695556640625</v>
      </c>
      <c r="AB56">
        <f t="shared" si="12"/>
        <v>8.3584466599977816</v>
      </c>
      <c r="AC56">
        <f t="shared" si="13"/>
        <v>64.775204964948458</v>
      </c>
      <c r="AD56">
        <v>271685.79209987703</v>
      </c>
      <c r="AE56">
        <v>2.940673828125</v>
      </c>
      <c r="AF56">
        <f t="shared" si="14"/>
        <v>7.4493810057274912</v>
      </c>
      <c r="AG56">
        <f t="shared" si="15"/>
        <v>57.730245957939772</v>
      </c>
      <c r="AH56">
        <v>307691.37782897201</v>
      </c>
      <c r="AI56">
        <v>3.1706653941765102</v>
      </c>
      <c r="AJ56">
        <f t="shared" si="16"/>
        <v>8.3611932420290316</v>
      </c>
      <c r="AK56">
        <f t="shared" si="17"/>
        <v>64.782701003985579</v>
      </c>
      <c r="AL56">
        <v>343694.83713807201</v>
      </c>
      <c r="AM56">
        <v>2.93975830078125</v>
      </c>
      <c r="AN56">
        <f t="shared" si="18"/>
        <v>7.4521275877587492</v>
      </c>
      <c r="AO56">
        <f t="shared" si="19"/>
        <v>57.739241204784378</v>
      </c>
    </row>
    <row r="57" spans="1:41" x14ac:dyDescent="0.15">
      <c r="A57" s="1">
        <v>55</v>
      </c>
      <c r="B57">
        <v>20019.7108608995</v>
      </c>
      <c r="C57">
        <v>3.1695556640625</v>
      </c>
      <c r="D57">
        <f t="shared" si="0"/>
        <v>8.605022802573103</v>
      </c>
      <c r="E57">
        <f t="shared" si="1"/>
        <v>65.942187962099737</v>
      </c>
      <c r="F57">
        <v>56023.406259998897</v>
      </c>
      <c r="G57">
        <v>2.938232421875</v>
      </c>
      <c r="H57">
        <f t="shared" si="2"/>
        <v>7.4939425584647417</v>
      </c>
      <c r="I57">
        <f t="shared" si="3"/>
        <v>57.427734952624775</v>
      </c>
      <c r="J57">
        <v>92028.439992095198</v>
      </c>
      <c r="K57">
        <v>3.1677585177949501</v>
      </c>
      <c r="L57">
        <f t="shared" si="4"/>
        <v>8.4533504392919134</v>
      </c>
      <c r="M57">
        <f t="shared" si="5"/>
        <v>65.541679321936968</v>
      </c>
      <c r="N57">
        <v>128031.821299195</v>
      </c>
      <c r="O57">
        <v>2.93853759765625</v>
      </c>
      <c r="P57">
        <f t="shared" si="6"/>
        <v>7.3422701951835263</v>
      </c>
      <c r="Q57">
        <f t="shared" si="7"/>
        <v>56.927099152421214</v>
      </c>
      <c r="R57">
        <v>164037.201018291</v>
      </c>
      <c r="S57">
        <v>3.1695556640625</v>
      </c>
      <c r="T57">
        <f t="shared" si="8"/>
        <v>8.4564021971044472</v>
      </c>
      <c r="U57">
        <f t="shared" si="9"/>
        <v>65.549830682751079</v>
      </c>
      <c r="V57">
        <v>200040.59232639099</v>
      </c>
      <c r="W57">
        <v>2.938232421875</v>
      </c>
      <c r="X57">
        <f t="shared" si="10"/>
        <v>7.3453219529958416</v>
      </c>
      <c r="Y57">
        <f t="shared" si="11"/>
        <v>56.937288353436742</v>
      </c>
      <c r="Z57">
        <v>236045.991052486</v>
      </c>
      <c r="AA57">
        <v>3.17064073350695</v>
      </c>
      <c r="AB57">
        <f t="shared" si="12"/>
        <v>8.4594539549169472</v>
      </c>
      <c r="AC57">
        <f t="shared" si="13"/>
        <v>65.557978187951321</v>
      </c>
      <c r="AD57">
        <v>272049.41836158599</v>
      </c>
      <c r="AE57">
        <v>2.93975830078125</v>
      </c>
      <c r="AF57">
        <f t="shared" si="14"/>
        <v>7.3483737108083336</v>
      </c>
      <c r="AG57">
        <f t="shared" si="15"/>
        <v>56.94747273493698</v>
      </c>
      <c r="AH57">
        <v>308055.00409068097</v>
      </c>
      <c r="AI57">
        <v>3.1708441840272101</v>
      </c>
      <c r="AJ57">
        <f t="shared" si="16"/>
        <v>8.4622005369481883</v>
      </c>
      <c r="AK57">
        <f t="shared" si="17"/>
        <v>65.565307648343094</v>
      </c>
      <c r="AL57">
        <v>344058.46339978097</v>
      </c>
      <c r="AM57">
        <v>2.9388427734375</v>
      </c>
      <c r="AN57">
        <f t="shared" si="18"/>
        <v>7.3511202928395916</v>
      </c>
      <c r="AO57">
        <f t="shared" si="19"/>
        <v>56.956634560426856</v>
      </c>
    </row>
    <row r="58" spans="1:41" x14ac:dyDescent="0.15">
      <c r="A58" s="1">
        <v>56</v>
      </c>
      <c r="B58">
        <v>20383.3371226077</v>
      </c>
      <c r="C58">
        <v>3.170166015625</v>
      </c>
      <c r="D58">
        <f t="shared" si="0"/>
        <v>8.7060300974920466</v>
      </c>
      <c r="E58">
        <f t="shared" si="1"/>
        <v>66.716229144779291</v>
      </c>
      <c r="F58">
        <v>56387.0325217071</v>
      </c>
      <c r="G58">
        <v>2.9376220703125</v>
      </c>
      <c r="H58">
        <f t="shared" si="2"/>
        <v>7.3929352635457963</v>
      </c>
      <c r="I58">
        <f t="shared" si="3"/>
        <v>56.653693769945214</v>
      </c>
      <c r="J58">
        <v>92392.066253803394</v>
      </c>
      <c r="K58">
        <v>3.1677893436318998</v>
      </c>
      <c r="L58">
        <f t="shared" si="4"/>
        <v>8.554357734210857</v>
      </c>
      <c r="M58">
        <f t="shared" si="5"/>
        <v>66.324822973711107</v>
      </c>
      <c r="N58">
        <v>128395.44756090301</v>
      </c>
      <c r="O58">
        <v>2.9376220703125</v>
      </c>
      <c r="P58">
        <f t="shared" si="6"/>
        <v>7.2412629002646351</v>
      </c>
      <c r="Q58">
        <f t="shared" si="7"/>
        <v>56.143955500647472</v>
      </c>
      <c r="R58">
        <v>164400.82727999901</v>
      </c>
      <c r="S58">
        <v>3.1704927694918701</v>
      </c>
      <c r="T58">
        <f t="shared" si="8"/>
        <v>8.5574094920233374</v>
      </c>
      <c r="U58">
        <f t="shared" si="9"/>
        <v>66.332789076324545</v>
      </c>
      <c r="V58">
        <v>200404.218588099</v>
      </c>
      <c r="W58">
        <v>2.93731689453125</v>
      </c>
      <c r="X58">
        <f t="shared" si="10"/>
        <v>7.2443146580769513</v>
      </c>
      <c r="Y58">
        <f t="shared" si="11"/>
        <v>56.154329959863283</v>
      </c>
      <c r="Z58">
        <v>236409.61731419401</v>
      </c>
      <c r="AA58">
        <v>3.1710383867975498</v>
      </c>
      <c r="AB58">
        <f t="shared" si="12"/>
        <v>8.5604612498358374</v>
      </c>
      <c r="AC58">
        <f t="shared" si="13"/>
        <v>66.340751410952052</v>
      </c>
      <c r="AD58">
        <v>272413.04462329397</v>
      </c>
      <c r="AE58">
        <v>2.93853759765625</v>
      </c>
      <c r="AF58">
        <f t="shared" si="14"/>
        <v>7.2473664158894513</v>
      </c>
      <c r="AG58">
        <f t="shared" si="15"/>
        <v>56.164699511936313</v>
      </c>
      <c r="AH58">
        <v>308418.63035238901</v>
      </c>
      <c r="AI58">
        <v>3.1716703164456401</v>
      </c>
      <c r="AJ58">
        <f t="shared" si="16"/>
        <v>8.5632078318670874</v>
      </c>
      <c r="AK58">
        <f t="shared" si="17"/>
        <v>66.347914292698633</v>
      </c>
      <c r="AL58">
        <v>344422.08966148901</v>
      </c>
      <c r="AM58">
        <v>2.93792724609375</v>
      </c>
      <c r="AN58">
        <f t="shared" si="18"/>
        <v>7.2501129979206933</v>
      </c>
      <c r="AO58">
        <f t="shared" si="19"/>
        <v>56.174027916071331</v>
      </c>
    </row>
    <row r="59" spans="1:41" x14ac:dyDescent="0.15">
      <c r="A59" s="1">
        <v>57</v>
      </c>
      <c r="B59">
        <v>20746.963384315899</v>
      </c>
      <c r="C59">
        <v>3.1706561464251899</v>
      </c>
      <c r="D59">
        <f t="shared" si="0"/>
        <v>8.8070373924109902</v>
      </c>
      <c r="E59">
        <f t="shared" si="1"/>
        <v>67.490270327458859</v>
      </c>
      <c r="F59">
        <v>56750.658783415303</v>
      </c>
      <c r="G59">
        <v>2.93670654296875</v>
      </c>
      <c r="H59">
        <f t="shared" si="2"/>
        <v>7.291927968626851</v>
      </c>
      <c r="I59">
        <f t="shared" si="3"/>
        <v>55.879652587265646</v>
      </c>
      <c r="J59">
        <v>92755.692515511706</v>
      </c>
      <c r="K59">
        <v>3.1688528349906302</v>
      </c>
      <c r="L59">
        <f t="shared" si="4"/>
        <v>8.6553650291298325</v>
      </c>
      <c r="M59">
        <f t="shared" si="5"/>
        <v>67.107966625485517</v>
      </c>
      <c r="N59">
        <v>128759.073822612</v>
      </c>
      <c r="O59">
        <v>2.93670654296875</v>
      </c>
      <c r="P59">
        <f t="shared" si="6"/>
        <v>7.1402556053454695</v>
      </c>
      <c r="Q59">
        <f t="shared" si="7"/>
        <v>55.360811848871592</v>
      </c>
      <c r="R59">
        <v>164764.45354170699</v>
      </c>
      <c r="S59">
        <v>3.1714144620028799</v>
      </c>
      <c r="T59">
        <f t="shared" si="8"/>
        <v>8.6584167869422206</v>
      </c>
      <c r="U59">
        <f t="shared" si="9"/>
        <v>67.11574746989794</v>
      </c>
      <c r="V59">
        <v>200767.84484980701</v>
      </c>
      <c r="W59">
        <v>2.93609619140625</v>
      </c>
      <c r="X59">
        <f t="shared" si="10"/>
        <v>7.1433073631580601</v>
      </c>
      <c r="Y59">
        <f t="shared" si="11"/>
        <v>55.371371566289817</v>
      </c>
      <c r="Z59">
        <v>236773.24357590199</v>
      </c>
      <c r="AA59">
        <v>3.1718121152935899</v>
      </c>
      <c r="AB59">
        <f t="shared" si="12"/>
        <v>8.6614685447547206</v>
      </c>
      <c r="AC59">
        <f t="shared" si="13"/>
        <v>67.123524633952712</v>
      </c>
      <c r="AD59">
        <v>272776.67088500201</v>
      </c>
      <c r="AE59">
        <v>2.9376220703125</v>
      </c>
      <c r="AF59">
        <f t="shared" si="14"/>
        <v>7.1463591209705521</v>
      </c>
      <c r="AG59">
        <f t="shared" si="15"/>
        <v>55.38192628893551</v>
      </c>
      <c r="AH59">
        <v>308782.25661409699</v>
      </c>
      <c r="AI59">
        <v>3.17169189453125</v>
      </c>
      <c r="AJ59">
        <f t="shared" si="16"/>
        <v>8.6642151267859706</v>
      </c>
      <c r="AK59">
        <f t="shared" si="17"/>
        <v>67.13052093705403</v>
      </c>
      <c r="AL59">
        <v>344785.71592319699</v>
      </c>
      <c r="AM59">
        <v>2.93670654296875</v>
      </c>
      <c r="AN59">
        <f t="shared" si="18"/>
        <v>7.1491057030018101</v>
      </c>
      <c r="AO59">
        <f t="shared" si="19"/>
        <v>55.391421271715934</v>
      </c>
    </row>
    <row r="60" spans="1:41" x14ac:dyDescent="0.15">
      <c r="A60" s="1">
        <v>58</v>
      </c>
      <c r="B60">
        <v>21110.589646024098</v>
      </c>
      <c r="C60">
        <v>3.17159325185448</v>
      </c>
      <c r="D60">
        <f t="shared" si="0"/>
        <v>8.9080446873299337</v>
      </c>
      <c r="E60">
        <f t="shared" si="1"/>
        <v>68.264311510138413</v>
      </c>
      <c r="F60">
        <v>57114.285045123499</v>
      </c>
      <c r="G60">
        <v>2.93609619140625</v>
      </c>
      <c r="H60">
        <f t="shared" si="2"/>
        <v>7.1909206737079083</v>
      </c>
      <c r="I60">
        <f t="shared" si="3"/>
        <v>55.105611404586099</v>
      </c>
      <c r="J60">
        <v>93119.3187772198</v>
      </c>
      <c r="K60">
        <v>3.1693491309581199</v>
      </c>
      <c r="L60">
        <f t="shared" si="4"/>
        <v>8.7563723240487477</v>
      </c>
      <c r="M60">
        <f t="shared" si="5"/>
        <v>67.891110277259443</v>
      </c>
      <c r="N60">
        <v>129122.70008431999</v>
      </c>
      <c r="O60">
        <v>2.93548583984375</v>
      </c>
      <c r="P60">
        <f t="shared" si="6"/>
        <v>7.0392483104265828</v>
      </c>
      <c r="Q60">
        <f t="shared" si="7"/>
        <v>54.577668197097871</v>
      </c>
      <c r="R60">
        <v>165128.07980341499</v>
      </c>
      <c r="S60">
        <v>3.1708842576148801</v>
      </c>
      <c r="T60">
        <f t="shared" si="8"/>
        <v>8.7594240818611109</v>
      </c>
      <c r="U60">
        <f t="shared" si="9"/>
        <v>67.898705863471392</v>
      </c>
      <c r="V60">
        <v>201131.47111151501</v>
      </c>
      <c r="W60">
        <v>2.93487548828125</v>
      </c>
      <c r="X60">
        <f t="shared" si="10"/>
        <v>7.0423000682391699</v>
      </c>
      <c r="Y60">
        <f t="shared" si="11"/>
        <v>54.588413172716358</v>
      </c>
      <c r="Z60">
        <v>237136.86983760999</v>
      </c>
      <c r="AA60">
        <v>3.17250877919827</v>
      </c>
      <c r="AB60">
        <f t="shared" si="12"/>
        <v>8.7624758396736109</v>
      </c>
      <c r="AC60">
        <f t="shared" si="13"/>
        <v>67.906297856953429</v>
      </c>
      <c r="AD60">
        <v>273140.29714670999</v>
      </c>
      <c r="AE60">
        <v>2.9364013671875</v>
      </c>
      <c r="AF60">
        <f t="shared" si="14"/>
        <v>7.0453518260516699</v>
      </c>
      <c r="AG60">
        <f t="shared" si="15"/>
        <v>54.599153065934857</v>
      </c>
      <c r="AH60">
        <v>309145.88287580502</v>
      </c>
      <c r="AI60">
        <v>3.17240088877069</v>
      </c>
      <c r="AJ60">
        <f t="shared" si="16"/>
        <v>8.7652224217048698</v>
      </c>
      <c r="AK60">
        <f t="shared" si="17"/>
        <v>67.913127581409555</v>
      </c>
      <c r="AL60">
        <v>345149.34218490502</v>
      </c>
      <c r="AM60">
        <v>2.93548583984375</v>
      </c>
      <c r="AN60">
        <f t="shared" si="18"/>
        <v>7.0480984080829119</v>
      </c>
      <c r="AO60">
        <f t="shared" si="19"/>
        <v>54.608814627360417</v>
      </c>
    </row>
    <row r="61" spans="1:41" x14ac:dyDescent="0.15">
      <c r="A61" s="1">
        <v>59</v>
      </c>
      <c r="B61">
        <v>21474.215907732301</v>
      </c>
      <c r="C61">
        <v>3.17230224609375</v>
      </c>
      <c r="D61">
        <f t="shared" si="0"/>
        <v>9.0090519822488808</v>
      </c>
      <c r="E61">
        <f t="shared" si="1"/>
        <v>69.03835269281798</v>
      </c>
      <c r="F61">
        <v>57477.911306831702</v>
      </c>
      <c r="G61">
        <v>2.9351806640625</v>
      </c>
      <c r="H61">
        <f t="shared" si="2"/>
        <v>7.089913378788963</v>
      </c>
      <c r="I61">
        <f t="shared" si="3"/>
        <v>54.331570221906532</v>
      </c>
      <c r="J61">
        <v>93482.945038927995</v>
      </c>
      <c r="K61">
        <v>3.1710661300505998</v>
      </c>
      <c r="L61">
        <f t="shared" si="4"/>
        <v>8.8573796189676912</v>
      </c>
      <c r="M61">
        <f t="shared" si="5"/>
        <v>68.674253929033597</v>
      </c>
      <c r="N61">
        <v>129486.326346028</v>
      </c>
      <c r="O61">
        <v>2.9345703125</v>
      </c>
      <c r="P61">
        <f t="shared" si="6"/>
        <v>6.9382410155076926</v>
      </c>
      <c r="Q61">
        <f t="shared" si="7"/>
        <v>53.794524545324137</v>
      </c>
      <c r="R61">
        <v>165491.706065123</v>
      </c>
      <c r="S61">
        <v>3.172607421875</v>
      </c>
      <c r="T61">
        <f t="shared" si="8"/>
        <v>8.8604313767800029</v>
      </c>
      <c r="U61">
        <f t="shared" si="9"/>
        <v>68.681664257044872</v>
      </c>
      <c r="V61">
        <v>201495.09737322299</v>
      </c>
      <c r="W61">
        <v>2.9336701980745801</v>
      </c>
      <c r="X61">
        <f t="shared" si="10"/>
        <v>6.9412927733202867</v>
      </c>
      <c r="Y61">
        <f t="shared" si="11"/>
        <v>53.805454779142956</v>
      </c>
      <c r="Z61">
        <v>237500.496099318</v>
      </c>
      <c r="AA61">
        <v>3.17291259765625</v>
      </c>
      <c r="AB61">
        <f t="shared" si="12"/>
        <v>8.8634831345925029</v>
      </c>
      <c r="AC61">
        <f t="shared" si="13"/>
        <v>68.689071079954175</v>
      </c>
      <c r="AD61">
        <v>273503.92340841802</v>
      </c>
      <c r="AE61">
        <v>2.9351806640625</v>
      </c>
      <c r="AF61">
        <f t="shared" si="14"/>
        <v>6.9443445311327707</v>
      </c>
      <c r="AG61">
        <f t="shared" si="15"/>
        <v>53.816379842934062</v>
      </c>
      <c r="AH61">
        <v>309509.509137513</v>
      </c>
      <c r="AI61">
        <v>3.17356918797284</v>
      </c>
      <c r="AJ61">
        <f t="shared" si="16"/>
        <v>8.8662297166237529</v>
      </c>
      <c r="AK61">
        <f t="shared" si="17"/>
        <v>68.695734225764951</v>
      </c>
      <c r="AL61">
        <v>345512.968446613</v>
      </c>
      <c r="AM61">
        <v>2.9345703125</v>
      </c>
      <c r="AN61">
        <f t="shared" si="18"/>
        <v>6.9470911131640287</v>
      </c>
      <c r="AO61">
        <f t="shared" si="19"/>
        <v>53.826207983005013</v>
      </c>
    </row>
    <row r="62" spans="1:41" x14ac:dyDescent="0.15">
      <c r="A62" s="1">
        <v>60</v>
      </c>
      <c r="B62">
        <v>21837.842169440501</v>
      </c>
      <c r="C62">
        <v>3.17273689038826</v>
      </c>
      <c r="D62">
        <f t="shared" si="0"/>
        <v>9.1100592771678244</v>
      </c>
      <c r="E62">
        <f t="shared" si="1"/>
        <v>69.812393875497548</v>
      </c>
      <c r="F62">
        <v>57841.537568539898</v>
      </c>
      <c r="G62">
        <v>2.93426513671875</v>
      </c>
      <c r="H62">
        <f t="shared" si="2"/>
        <v>6.9889060838700194</v>
      </c>
      <c r="I62">
        <f t="shared" si="3"/>
        <v>53.557529039226971</v>
      </c>
      <c r="J62">
        <v>93846.571300636206</v>
      </c>
      <c r="K62">
        <v>3.1715624260180899</v>
      </c>
      <c r="L62">
        <f t="shared" si="4"/>
        <v>8.9583869138866383</v>
      </c>
      <c r="M62">
        <f t="shared" si="5"/>
        <v>69.457397580807779</v>
      </c>
      <c r="N62">
        <v>129849.95260773601</v>
      </c>
      <c r="O62">
        <v>2.93365478515625</v>
      </c>
      <c r="P62">
        <f t="shared" si="6"/>
        <v>6.8372337205888014</v>
      </c>
      <c r="Q62">
        <f t="shared" si="7"/>
        <v>53.011380893550388</v>
      </c>
      <c r="R62">
        <v>165855.33232683199</v>
      </c>
      <c r="S62">
        <v>3.17317153468248</v>
      </c>
      <c r="T62">
        <f t="shared" si="8"/>
        <v>8.9614386716991667</v>
      </c>
      <c r="U62">
        <f t="shared" si="9"/>
        <v>69.464622650620456</v>
      </c>
      <c r="V62">
        <v>201858.72363493199</v>
      </c>
      <c r="W62">
        <v>2.93243408203125</v>
      </c>
      <c r="X62">
        <f t="shared" si="10"/>
        <v>6.840285478401122</v>
      </c>
      <c r="Y62">
        <f t="shared" si="11"/>
        <v>53.022496385567372</v>
      </c>
      <c r="Z62">
        <v>237864.122361027</v>
      </c>
      <c r="AA62">
        <v>3.17387436375467</v>
      </c>
      <c r="AB62">
        <f t="shared" si="12"/>
        <v>8.9644904295116667</v>
      </c>
      <c r="AC62">
        <f t="shared" si="13"/>
        <v>69.471844302957024</v>
      </c>
      <c r="AD62">
        <v>273867.54967012699</v>
      </c>
      <c r="AE62">
        <v>2.9339599609375</v>
      </c>
      <c r="AF62">
        <f t="shared" si="14"/>
        <v>6.8433372362136131</v>
      </c>
      <c r="AG62">
        <f t="shared" si="15"/>
        <v>53.033606619931263</v>
      </c>
      <c r="AH62">
        <v>309873.13539922202</v>
      </c>
      <c r="AI62">
        <v>3.1742627692943599</v>
      </c>
      <c r="AJ62">
        <f t="shared" si="16"/>
        <v>8.9672370115429256</v>
      </c>
      <c r="AK62">
        <f t="shared" si="17"/>
        <v>69.478340870122608</v>
      </c>
      <c r="AL62">
        <v>345876.59470832202</v>
      </c>
      <c r="AM62">
        <v>2.933349609375</v>
      </c>
      <c r="AN62">
        <f t="shared" si="18"/>
        <v>6.8460838182448551</v>
      </c>
      <c r="AO62">
        <f t="shared" si="19"/>
        <v>53.043601338647363</v>
      </c>
    </row>
    <row r="63" spans="1:41" x14ac:dyDescent="0.15">
      <c r="A63" s="1">
        <v>61</v>
      </c>
      <c r="B63">
        <v>22201.4684311487</v>
      </c>
      <c r="C63">
        <v>3.1737664733270199</v>
      </c>
      <c r="D63">
        <f t="shared" si="0"/>
        <v>9.2110665720867679</v>
      </c>
      <c r="E63">
        <f t="shared" si="1"/>
        <v>70.586435058177102</v>
      </c>
      <c r="F63">
        <v>58205.163830248101</v>
      </c>
      <c r="G63">
        <v>2.933349609375</v>
      </c>
      <c r="H63">
        <f t="shared" si="2"/>
        <v>6.8878987889510741</v>
      </c>
      <c r="I63">
        <f t="shared" si="3"/>
        <v>52.78348785654741</v>
      </c>
      <c r="J63">
        <v>94210.197562344401</v>
      </c>
      <c r="K63">
        <v>3.17236389776683</v>
      </c>
      <c r="L63">
        <f t="shared" si="4"/>
        <v>9.0593942088055819</v>
      </c>
      <c r="M63">
        <f t="shared" si="5"/>
        <v>70.240541232581933</v>
      </c>
      <c r="N63">
        <v>130213.578869444</v>
      </c>
      <c r="O63">
        <v>2.93243408203125</v>
      </c>
      <c r="P63">
        <f t="shared" si="6"/>
        <v>6.7362264256699147</v>
      </c>
      <c r="Q63">
        <f t="shared" si="7"/>
        <v>52.228237241776675</v>
      </c>
      <c r="R63">
        <v>166218.95858854</v>
      </c>
      <c r="S63">
        <v>3.1746203489976099</v>
      </c>
      <c r="T63">
        <f t="shared" si="8"/>
        <v>9.062445966618057</v>
      </c>
      <c r="U63">
        <f t="shared" si="9"/>
        <v>70.247581044193907</v>
      </c>
      <c r="V63">
        <v>202222.34989663999</v>
      </c>
      <c r="W63">
        <v>2.93121337890625</v>
      </c>
      <c r="X63">
        <f t="shared" si="10"/>
        <v>6.7392781834822308</v>
      </c>
      <c r="Y63">
        <f t="shared" si="11"/>
        <v>52.239537991993899</v>
      </c>
      <c r="Z63">
        <v>238227.748622735</v>
      </c>
      <c r="AA63">
        <v>3.1745617799085202</v>
      </c>
      <c r="AB63">
        <f t="shared" si="12"/>
        <v>9.065497724430557</v>
      </c>
      <c r="AC63">
        <f t="shared" si="13"/>
        <v>70.254617525957755</v>
      </c>
      <c r="AD63">
        <v>274231.17593183502</v>
      </c>
      <c r="AE63">
        <v>2.9327392578125</v>
      </c>
      <c r="AF63">
        <f t="shared" si="14"/>
        <v>6.7423299412947149</v>
      </c>
      <c r="AG63">
        <f t="shared" si="15"/>
        <v>52.250833396930474</v>
      </c>
      <c r="AH63">
        <v>310236.76166093</v>
      </c>
      <c r="AI63">
        <v>3.175048828125</v>
      </c>
      <c r="AJ63">
        <f t="shared" si="16"/>
        <v>9.068244306461807</v>
      </c>
      <c r="AK63">
        <f t="shared" si="17"/>
        <v>70.260947514477991</v>
      </c>
      <c r="AL63">
        <v>346240.22097003</v>
      </c>
      <c r="AM63">
        <v>2.93212890625</v>
      </c>
      <c r="AN63">
        <f t="shared" si="18"/>
        <v>6.7450765233259729</v>
      </c>
      <c r="AO63">
        <f t="shared" si="19"/>
        <v>52.260994694291959</v>
      </c>
    </row>
    <row r="64" spans="1:41" x14ac:dyDescent="0.15">
      <c r="A64" s="1">
        <v>62</v>
      </c>
      <c r="B64">
        <v>22565.094692856899</v>
      </c>
      <c r="C64">
        <v>3.1739329328440702</v>
      </c>
      <c r="D64">
        <f t="shared" si="0"/>
        <v>9.3120738670057115</v>
      </c>
      <c r="E64">
        <f t="shared" si="1"/>
        <v>71.360476240856656</v>
      </c>
      <c r="F64">
        <v>58568.790091956304</v>
      </c>
      <c r="G64">
        <v>2.93243408203125</v>
      </c>
      <c r="H64">
        <f t="shared" si="2"/>
        <v>6.7868914940321288</v>
      </c>
      <c r="I64">
        <f t="shared" si="3"/>
        <v>52.009446673867842</v>
      </c>
      <c r="J64">
        <v>94573.823824052597</v>
      </c>
      <c r="K64">
        <v>3.17352294921875</v>
      </c>
      <c r="L64">
        <f t="shared" si="4"/>
        <v>9.1604015037245254</v>
      </c>
      <c r="M64">
        <f t="shared" si="5"/>
        <v>71.023684884356086</v>
      </c>
      <c r="N64">
        <v>130577.20513115299</v>
      </c>
      <c r="O64">
        <v>2.93121337890625</v>
      </c>
      <c r="P64">
        <f t="shared" si="6"/>
        <v>6.63521913075075</v>
      </c>
      <c r="Q64">
        <f t="shared" si="7"/>
        <v>51.445093590000809</v>
      </c>
      <c r="R64">
        <v>166582.58485024801</v>
      </c>
      <c r="S64">
        <v>3.17515363596902</v>
      </c>
      <c r="T64">
        <f t="shared" si="8"/>
        <v>9.1634532615369491</v>
      </c>
      <c r="U64">
        <f t="shared" si="9"/>
        <v>71.030539437767388</v>
      </c>
      <c r="V64">
        <v>202585.976158348</v>
      </c>
      <c r="W64">
        <v>2.92999267578125</v>
      </c>
      <c r="X64">
        <f t="shared" si="10"/>
        <v>6.6382708885633406</v>
      </c>
      <c r="Y64">
        <f t="shared" si="11"/>
        <v>51.456579598420447</v>
      </c>
      <c r="Z64">
        <v>238591.37488444301</v>
      </c>
      <c r="AA64">
        <v>3.1754064078282598</v>
      </c>
      <c r="AB64">
        <f t="shared" si="12"/>
        <v>9.1665050193494491</v>
      </c>
      <c r="AC64">
        <f t="shared" si="13"/>
        <v>71.037390748958487</v>
      </c>
      <c r="AD64">
        <v>274594.802193543</v>
      </c>
      <c r="AE64">
        <v>2.9315185546875</v>
      </c>
      <c r="AF64">
        <f t="shared" si="14"/>
        <v>6.6413226463758317</v>
      </c>
      <c r="AG64">
        <f t="shared" si="15"/>
        <v>51.468060173929807</v>
      </c>
      <c r="AH64">
        <v>310600.38792263798</v>
      </c>
      <c r="AI64">
        <v>3.17626953125</v>
      </c>
      <c r="AJ64">
        <f t="shared" si="16"/>
        <v>9.1692516013806902</v>
      </c>
      <c r="AK64">
        <f t="shared" si="17"/>
        <v>71.043554158833388</v>
      </c>
      <c r="AL64">
        <v>346603.84723173798</v>
      </c>
      <c r="AM64">
        <v>2.930908203125</v>
      </c>
      <c r="AN64">
        <f t="shared" si="18"/>
        <v>6.6440692284070906</v>
      </c>
      <c r="AO64">
        <f t="shared" si="19"/>
        <v>51.478388049936576</v>
      </c>
    </row>
    <row r="65" spans="1:41" x14ac:dyDescent="0.15">
      <c r="A65" s="1">
        <v>63</v>
      </c>
      <c r="B65">
        <v>22928.720954565099</v>
      </c>
      <c r="C65">
        <v>3.1747159090908998</v>
      </c>
      <c r="D65">
        <f t="shared" si="0"/>
        <v>9.4130811619246568</v>
      </c>
      <c r="E65">
        <f t="shared" si="1"/>
        <v>72.134517423536209</v>
      </c>
      <c r="F65">
        <v>58932.416353664499</v>
      </c>
      <c r="G65">
        <v>2.9315185546875</v>
      </c>
      <c r="H65">
        <f t="shared" si="2"/>
        <v>6.6858841991131861</v>
      </c>
      <c r="I65">
        <f t="shared" si="3"/>
        <v>51.235405491188288</v>
      </c>
      <c r="J65">
        <v>94937.450085760807</v>
      </c>
      <c r="K65">
        <v>3.1744107333098599</v>
      </c>
      <c r="L65">
        <f t="shared" si="4"/>
        <v>9.2614087986434726</v>
      </c>
      <c r="M65">
        <f t="shared" si="5"/>
        <v>71.806828536130269</v>
      </c>
      <c r="N65">
        <v>130940.831392861</v>
      </c>
      <c r="O65">
        <v>2.9302978515625</v>
      </c>
      <c r="P65">
        <f t="shared" si="6"/>
        <v>6.5342118358318588</v>
      </c>
      <c r="Q65">
        <f t="shared" si="7"/>
        <v>50.66194993822706</v>
      </c>
      <c r="R65">
        <v>166946.21111195601</v>
      </c>
      <c r="S65">
        <v>3.1759920987213102</v>
      </c>
      <c r="T65">
        <f t="shared" si="8"/>
        <v>9.2644605564558393</v>
      </c>
      <c r="U65">
        <f t="shared" si="9"/>
        <v>71.81349783134084</v>
      </c>
      <c r="V65">
        <v>202949.60242005601</v>
      </c>
      <c r="W65">
        <v>2.92877197265625</v>
      </c>
      <c r="X65">
        <f t="shared" si="10"/>
        <v>6.5372635936444494</v>
      </c>
      <c r="Y65">
        <f t="shared" si="11"/>
        <v>50.673621204846988</v>
      </c>
      <c r="Z65">
        <v>238955.00114615099</v>
      </c>
      <c r="AA65">
        <v>3.1764359907670698</v>
      </c>
      <c r="AB65">
        <f t="shared" si="12"/>
        <v>9.2675123142683304</v>
      </c>
      <c r="AC65">
        <f t="shared" si="13"/>
        <v>71.820163971959147</v>
      </c>
      <c r="AD65">
        <v>274958.42845525098</v>
      </c>
      <c r="AE65">
        <v>2.9302978515625</v>
      </c>
      <c r="AF65">
        <f t="shared" si="14"/>
        <v>6.5403153514569494</v>
      </c>
      <c r="AG65">
        <f t="shared" si="15"/>
        <v>50.685286950929139</v>
      </c>
      <c r="AH65">
        <v>310964.01418434602</v>
      </c>
      <c r="AI65">
        <v>3.17704634232941</v>
      </c>
      <c r="AJ65">
        <f t="shared" si="16"/>
        <v>9.2702588962995893</v>
      </c>
      <c r="AK65">
        <f t="shared" si="17"/>
        <v>71.826160803188912</v>
      </c>
      <c r="AL65">
        <v>346967.47349344601</v>
      </c>
      <c r="AM65">
        <v>2.92938232421875</v>
      </c>
      <c r="AN65">
        <f t="shared" si="18"/>
        <v>6.5430619334881914</v>
      </c>
      <c r="AO65">
        <f t="shared" si="19"/>
        <v>50.695781405581045</v>
      </c>
    </row>
    <row r="66" spans="1:41" x14ac:dyDescent="0.15">
      <c r="A66" s="1">
        <v>64</v>
      </c>
      <c r="B66">
        <v>23292.347216273301</v>
      </c>
      <c r="C66">
        <v>3.1759396947995602</v>
      </c>
      <c r="D66">
        <f t="shared" si="0"/>
        <v>9.5140884568436022</v>
      </c>
      <c r="E66">
        <f t="shared" si="1"/>
        <v>72.908558606215792</v>
      </c>
      <c r="F66">
        <v>59296.042615372702</v>
      </c>
      <c r="G66">
        <v>2.93060302734375</v>
      </c>
      <c r="H66">
        <f t="shared" si="2"/>
        <v>6.5848769041942408</v>
      </c>
      <c r="I66">
        <f t="shared" si="3"/>
        <v>50.461364308508728</v>
      </c>
      <c r="J66">
        <v>95301.076347469003</v>
      </c>
      <c r="K66">
        <v>3.1744877979010901</v>
      </c>
      <c r="L66">
        <f t="shared" si="4"/>
        <v>9.3624160935624161</v>
      </c>
      <c r="M66">
        <f t="shared" si="5"/>
        <v>72.589972187904422</v>
      </c>
      <c r="N66">
        <v>131304.45765456901</v>
      </c>
      <c r="O66">
        <v>2.9290771484375</v>
      </c>
      <c r="P66">
        <f t="shared" si="6"/>
        <v>6.4332045409129686</v>
      </c>
      <c r="Q66">
        <f t="shared" si="7"/>
        <v>49.878806286453326</v>
      </c>
      <c r="R66">
        <v>167309.83737366399</v>
      </c>
      <c r="S66">
        <v>3.17657470703125</v>
      </c>
      <c r="T66">
        <f t="shared" si="8"/>
        <v>9.3654678513747207</v>
      </c>
      <c r="U66">
        <f t="shared" si="9"/>
        <v>72.596456224914235</v>
      </c>
      <c r="V66">
        <v>203313.22868176401</v>
      </c>
      <c r="W66">
        <v>2.92724609375</v>
      </c>
      <c r="X66">
        <f t="shared" si="10"/>
        <v>6.4362562987255592</v>
      </c>
      <c r="Y66">
        <f t="shared" si="11"/>
        <v>49.890662811273522</v>
      </c>
      <c r="Z66">
        <v>239318.62740785899</v>
      </c>
      <c r="AA66">
        <v>3.1769045434816099</v>
      </c>
      <c r="AB66">
        <f t="shared" si="12"/>
        <v>9.3685196091872207</v>
      </c>
      <c r="AC66">
        <f t="shared" si="13"/>
        <v>72.602937194959878</v>
      </c>
      <c r="AD66">
        <v>275322.05471695901</v>
      </c>
      <c r="AE66">
        <v>2.9290771484375</v>
      </c>
      <c r="AF66">
        <f t="shared" si="14"/>
        <v>6.4393080565380503</v>
      </c>
      <c r="AG66">
        <f t="shared" si="15"/>
        <v>49.902513727928344</v>
      </c>
      <c r="AH66">
        <v>311327.64044605399</v>
      </c>
      <c r="AI66">
        <v>3.1778200708256299</v>
      </c>
      <c r="AJ66">
        <f t="shared" si="16"/>
        <v>9.3712661912184707</v>
      </c>
      <c r="AK66">
        <f t="shared" si="17"/>
        <v>72.608767447544295</v>
      </c>
      <c r="AL66">
        <v>347331.09975515399</v>
      </c>
      <c r="AM66">
        <v>2.92816162109375</v>
      </c>
      <c r="AN66">
        <f t="shared" si="18"/>
        <v>6.4420546385693092</v>
      </c>
      <c r="AO66">
        <f t="shared" si="19"/>
        <v>49.913174761225655</v>
      </c>
    </row>
    <row r="67" spans="1:41" x14ac:dyDescent="0.15">
      <c r="A67" s="1">
        <v>65</v>
      </c>
      <c r="B67">
        <v>23655.973477981501</v>
      </c>
      <c r="C67">
        <v>3.1763959171796001</v>
      </c>
      <c r="D67">
        <f t="shared" ref="D67:D101" si="20">$C$2+1*((B67-$B$2)/3600)</f>
        <v>9.6150957517625457</v>
      </c>
      <c r="E67">
        <f t="shared" ref="E67:E101" si="21">(D67/$D$101)*100</f>
        <v>73.682599788895345</v>
      </c>
      <c r="F67">
        <v>59659.668877080898</v>
      </c>
      <c r="G67">
        <v>2.9296875</v>
      </c>
      <c r="H67">
        <f t="shared" ref="H67:H101" si="22">$D$101-1*((F67-$F$2)/3600)</f>
        <v>6.4838696092752972</v>
      </c>
      <c r="I67">
        <f t="shared" ref="I67:I101" si="23">(H67/$H$2)*100</f>
        <v>49.687323125829167</v>
      </c>
      <c r="J67">
        <v>95664.702609177199</v>
      </c>
      <c r="K67">
        <v>3.17596435546875</v>
      </c>
      <c r="L67">
        <f t="shared" ref="L67:L101" si="24">$K$2+1*((J67-$J$2)/3600)</f>
        <v>9.4634233884813597</v>
      </c>
      <c r="M67">
        <f t="shared" ref="M67:M101" si="25">(L67/$L$101)*100</f>
        <v>73.373115839678576</v>
      </c>
      <c r="N67">
        <v>131668.08391627701</v>
      </c>
      <c r="O67">
        <v>2.9278564453125</v>
      </c>
      <c r="P67">
        <f t="shared" ref="P67:P101" si="26">$L$101-1*((N67-$N$2)/3600)</f>
        <v>6.3321972459940774</v>
      </c>
      <c r="Q67">
        <f t="shared" ref="Q67:Q101" si="27">(P67/$P$2)*100</f>
        <v>49.095662634679577</v>
      </c>
      <c r="R67">
        <v>167673.463635372</v>
      </c>
      <c r="S67">
        <v>3.1778848050819199</v>
      </c>
      <c r="T67">
        <f t="shared" ref="T67:T101" si="28">$S$2+1*((R67-$R$2)/3600)</f>
        <v>9.4664751462936128</v>
      </c>
      <c r="U67">
        <f t="shared" ref="U67:U101" si="29">(T67/$T$101)*100</f>
        <v>73.379414618487701</v>
      </c>
      <c r="V67">
        <v>203676.85494347199</v>
      </c>
      <c r="W67">
        <v>2.926025390625</v>
      </c>
      <c r="X67">
        <f t="shared" ref="X67:X101" si="30">$T$101-1*((V67-$V$2)/3600)</f>
        <v>6.335249003806676</v>
      </c>
      <c r="Y67">
        <f t="shared" ref="Y67:Y101" si="31">(X67/$X$2)*100</f>
        <v>49.10770441770012</v>
      </c>
      <c r="Z67">
        <v>239682.253669567</v>
      </c>
      <c r="AA67">
        <v>3.17801119101162</v>
      </c>
      <c r="AB67">
        <f t="shared" ref="AB67:AB101" si="32">$AA$2+1*((Z67-$Z$2)/3600)</f>
        <v>9.4695269041061128</v>
      </c>
      <c r="AC67">
        <f t="shared" ref="AC67:AC101" si="33">(AB67/$AB$101)*100</f>
        <v>73.38571041796061</v>
      </c>
      <c r="AD67">
        <v>275685.68097866699</v>
      </c>
      <c r="AE67">
        <v>2.92755126953125</v>
      </c>
      <c r="AF67">
        <f t="shared" ref="AF67:AF101" si="34">$AB$101-1*((AD67-$AD$2)/3600)</f>
        <v>6.338300761619168</v>
      </c>
      <c r="AG67">
        <f t="shared" ref="AG67:AG101" si="35">(AF67/$AF$2)*100</f>
        <v>49.119740504927684</v>
      </c>
      <c r="AH67">
        <v>311691.26670776302</v>
      </c>
      <c r="AI67">
        <v>3.17880033242565</v>
      </c>
      <c r="AJ67">
        <f t="shared" ref="AJ67:AJ101" si="36">$AI$2+1*((AH67-$AH$2)/3600)</f>
        <v>9.4722734861376452</v>
      </c>
      <c r="AK67">
        <f t="shared" ref="AK67:AK101" si="37">(AJ67/$AJ$101)*100</f>
        <v>73.391374091901966</v>
      </c>
      <c r="AL67">
        <v>347694.72601686302</v>
      </c>
      <c r="AM67">
        <v>2.92694091796875</v>
      </c>
      <c r="AN67">
        <f t="shared" ref="AN67:AN101" si="38">$AJ$101-1*((AL67-$AL$2)/3600)</f>
        <v>6.3410473436501356</v>
      </c>
      <c r="AO67">
        <f t="shared" ref="AO67:AO101" si="39">(AN67/$AN$2)*100</f>
        <v>49.130568116867998</v>
      </c>
    </row>
    <row r="68" spans="1:41" x14ac:dyDescent="0.15">
      <c r="A68" s="1">
        <v>66</v>
      </c>
      <c r="B68">
        <v>24019.5997396897</v>
      </c>
      <c r="C68">
        <v>3.1767781575520702</v>
      </c>
      <c r="D68">
        <f t="shared" si="20"/>
        <v>9.7161030466814911</v>
      </c>
      <c r="E68">
        <f t="shared" si="21"/>
        <v>74.456640971574899</v>
      </c>
      <c r="F68">
        <v>60023.295138789101</v>
      </c>
      <c r="G68">
        <v>2.928466796875</v>
      </c>
      <c r="H68">
        <f t="shared" si="22"/>
        <v>6.3828623143563519</v>
      </c>
      <c r="I68">
        <f t="shared" si="23"/>
        <v>48.913281943149599</v>
      </c>
      <c r="J68">
        <v>96028.328870885394</v>
      </c>
      <c r="K68">
        <v>3.17708333333323</v>
      </c>
      <c r="L68">
        <f t="shared" si="24"/>
        <v>9.5644306834003032</v>
      </c>
      <c r="M68">
        <f t="shared" si="25"/>
        <v>74.15625949145273</v>
      </c>
      <c r="N68">
        <v>132031.71017798499</v>
      </c>
      <c r="O68">
        <v>2.9266357421875</v>
      </c>
      <c r="P68">
        <f t="shared" si="26"/>
        <v>6.2311899510751951</v>
      </c>
      <c r="Q68">
        <f t="shared" si="27"/>
        <v>48.3125189829059</v>
      </c>
      <c r="R68">
        <v>168037.08989708099</v>
      </c>
      <c r="S68">
        <v>3.17881266276052</v>
      </c>
      <c r="T68">
        <f t="shared" si="28"/>
        <v>9.5674824412127784</v>
      </c>
      <c r="U68">
        <f t="shared" si="29"/>
        <v>74.162373012063298</v>
      </c>
      <c r="V68">
        <v>204040.48120518099</v>
      </c>
      <c r="W68">
        <v>2.92449951171875</v>
      </c>
      <c r="X68">
        <f t="shared" si="30"/>
        <v>6.2342417088875104</v>
      </c>
      <c r="Y68">
        <f t="shared" si="31"/>
        <v>48.324746024124529</v>
      </c>
      <c r="Z68">
        <v>240045.87993127599</v>
      </c>
      <c r="AA68">
        <v>3.1792195638020799</v>
      </c>
      <c r="AB68">
        <f t="shared" si="32"/>
        <v>9.5705341990252784</v>
      </c>
      <c r="AC68">
        <f t="shared" si="33"/>
        <v>74.168483640963473</v>
      </c>
      <c r="AD68">
        <v>276049.30724037602</v>
      </c>
      <c r="AE68">
        <v>2.926025390625</v>
      </c>
      <c r="AF68">
        <f t="shared" si="34"/>
        <v>6.2372934666999944</v>
      </c>
      <c r="AG68">
        <f t="shared" si="35"/>
        <v>48.336967281924757</v>
      </c>
      <c r="AH68">
        <v>312054.892969471</v>
      </c>
      <c r="AI68">
        <v>3.18013509114573</v>
      </c>
      <c r="AJ68">
        <f t="shared" si="36"/>
        <v>9.5732807810565284</v>
      </c>
      <c r="AK68">
        <f t="shared" si="37"/>
        <v>74.173980736257363</v>
      </c>
      <c r="AL68">
        <v>348058.35227857099</v>
      </c>
      <c r="AM68">
        <v>2.9254150390625</v>
      </c>
      <c r="AN68">
        <f t="shared" si="38"/>
        <v>6.2400400487312524</v>
      </c>
      <c r="AO68">
        <f t="shared" si="39"/>
        <v>48.347961472512594</v>
      </c>
    </row>
    <row r="69" spans="1:41" x14ac:dyDescent="0.15">
      <c r="A69" s="1">
        <v>67</v>
      </c>
      <c r="B69">
        <v>24383.226001397899</v>
      </c>
      <c r="C69">
        <v>3.1780635949336902</v>
      </c>
      <c r="D69">
        <f t="shared" si="20"/>
        <v>9.8171103416004364</v>
      </c>
      <c r="E69">
        <f t="shared" si="21"/>
        <v>75.230682154254481</v>
      </c>
      <c r="F69">
        <v>60386.921400497296</v>
      </c>
      <c r="G69">
        <v>2.92755126953125</v>
      </c>
      <c r="H69">
        <f t="shared" si="22"/>
        <v>6.2818550194374083</v>
      </c>
      <c r="I69">
        <f t="shared" si="23"/>
        <v>48.139240760470045</v>
      </c>
      <c r="J69">
        <v>96391.955132593605</v>
      </c>
      <c r="K69">
        <v>3.17840576171875</v>
      </c>
      <c r="L69">
        <f t="shared" si="24"/>
        <v>9.6654379783192503</v>
      </c>
      <c r="M69">
        <f t="shared" si="25"/>
        <v>74.939403143226897</v>
      </c>
      <c r="N69">
        <v>132395.33643969399</v>
      </c>
      <c r="O69">
        <v>2.92510986328125</v>
      </c>
      <c r="P69">
        <f t="shared" si="26"/>
        <v>6.1301826561560295</v>
      </c>
      <c r="Q69">
        <f t="shared" si="27"/>
        <v>47.529375331130026</v>
      </c>
      <c r="R69">
        <v>168400.716158789</v>
      </c>
      <c r="S69">
        <v>3.1796387951782901</v>
      </c>
      <c r="T69">
        <f t="shared" si="28"/>
        <v>9.6684897361316686</v>
      </c>
      <c r="U69">
        <f t="shared" si="29"/>
        <v>74.94533140563675</v>
      </c>
      <c r="V69">
        <v>204404.10746688899</v>
      </c>
      <c r="W69">
        <v>2.9229736328125</v>
      </c>
      <c r="X69">
        <f t="shared" si="30"/>
        <v>6.1332344139686201</v>
      </c>
      <c r="Y69">
        <f t="shared" si="31"/>
        <v>47.54178763055107</v>
      </c>
      <c r="Z69">
        <v>240409.506192984</v>
      </c>
      <c r="AA69">
        <v>3.1796634558474</v>
      </c>
      <c r="AB69">
        <f t="shared" si="32"/>
        <v>9.6715414939441686</v>
      </c>
      <c r="AC69">
        <f t="shared" si="33"/>
        <v>74.951256863964204</v>
      </c>
      <c r="AD69">
        <v>276412.93350208399</v>
      </c>
      <c r="AE69">
        <v>2.92449951171875</v>
      </c>
      <c r="AF69">
        <f t="shared" si="34"/>
        <v>6.1362861717811121</v>
      </c>
      <c r="AG69">
        <f t="shared" si="35"/>
        <v>47.554194058924097</v>
      </c>
      <c r="AH69">
        <v>312418.51923117897</v>
      </c>
      <c r="AI69">
        <v>3.1805666528565801</v>
      </c>
      <c r="AJ69">
        <f t="shared" si="36"/>
        <v>9.6742880759754115</v>
      </c>
      <c r="AK69">
        <f t="shared" si="37"/>
        <v>74.95658738061276</v>
      </c>
      <c r="AL69">
        <v>348421.97854027897</v>
      </c>
      <c r="AM69">
        <v>2.92388916015625</v>
      </c>
      <c r="AN69">
        <f t="shared" si="38"/>
        <v>6.1390327538123701</v>
      </c>
      <c r="AO69">
        <f t="shared" si="39"/>
        <v>47.565354828157204</v>
      </c>
    </row>
    <row r="70" spans="1:41" x14ac:dyDescent="0.15">
      <c r="A70" s="1">
        <v>68</v>
      </c>
      <c r="B70">
        <v>24746.852263106099</v>
      </c>
      <c r="C70">
        <v>3.1787109375</v>
      </c>
      <c r="D70">
        <f t="shared" si="20"/>
        <v>9.9181176365193799</v>
      </c>
      <c r="E70">
        <f t="shared" si="21"/>
        <v>76.004723336934035</v>
      </c>
      <c r="F70">
        <v>60750.547662205499</v>
      </c>
      <c r="G70">
        <v>2.92633056640625</v>
      </c>
      <c r="H70">
        <f t="shared" si="22"/>
        <v>6.180847724518463</v>
      </c>
      <c r="I70">
        <f t="shared" si="23"/>
        <v>47.365199577790477</v>
      </c>
      <c r="J70">
        <v>96755.5813943018</v>
      </c>
      <c r="K70">
        <v>3.1787849195072702</v>
      </c>
      <c r="L70">
        <f t="shared" si="24"/>
        <v>9.7664452732381939</v>
      </c>
      <c r="M70">
        <f t="shared" si="25"/>
        <v>75.722546795001051</v>
      </c>
      <c r="N70">
        <v>132758.96270140199</v>
      </c>
      <c r="O70">
        <v>2.92388916015625</v>
      </c>
      <c r="P70">
        <f t="shared" si="26"/>
        <v>6.0291753612371384</v>
      </c>
      <c r="Q70">
        <f t="shared" si="27"/>
        <v>46.746231679356278</v>
      </c>
      <c r="R70">
        <v>168764.34242049701</v>
      </c>
      <c r="S70">
        <v>3.1806159741947702</v>
      </c>
      <c r="T70">
        <f t="shared" si="28"/>
        <v>9.7694970310505589</v>
      </c>
      <c r="U70">
        <f t="shared" si="29"/>
        <v>75.728289799210216</v>
      </c>
      <c r="V70">
        <v>204767.733728597</v>
      </c>
      <c r="W70">
        <v>2.92144775390625</v>
      </c>
      <c r="X70">
        <f t="shared" si="30"/>
        <v>6.032227119049729</v>
      </c>
      <c r="Y70">
        <f t="shared" si="31"/>
        <v>46.758829236977604</v>
      </c>
      <c r="Z70">
        <v>240773.13245469201</v>
      </c>
      <c r="AA70">
        <v>3.1812047476719898</v>
      </c>
      <c r="AB70">
        <f t="shared" si="32"/>
        <v>9.7725487888630589</v>
      </c>
      <c r="AC70">
        <f t="shared" si="33"/>
        <v>75.734030086964921</v>
      </c>
      <c r="AD70">
        <v>276776.55976379197</v>
      </c>
      <c r="AE70">
        <v>2.9229736328125</v>
      </c>
      <c r="AF70">
        <f t="shared" si="34"/>
        <v>6.035278876862229</v>
      </c>
      <c r="AG70">
        <f t="shared" si="35"/>
        <v>46.771420835923429</v>
      </c>
      <c r="AH70">
        <v>312782.14549288701</v>
      </c>
      <c r="AI70">
        <v>3.18219425702324</v>
      </c>
      <c r="AJ70">
        <f t="shared" si="36"/>
        <v>9.7752953708943089</v>
      </c>
      <c r="AK70">
        <f t="shared" si="37"/>
        <v>75.73919402496827</v>
      </c>
      <c r="AL70">
        <v>348785.60480198701</v>
      </c>
      <c r="AM70">
        <v>2.92236328125</v>
      </c>
      <c r="AN70">
        <f t="shared" si="38"/>
        <v>6.038025458893471</v>
      </c>
      <c r="AO70">
        <f t="shared" si="39"/>
        <v>46.782748183801672</v>
      </c>
    </row>
    <row r="71" spans="1:41" x14ac:dyDescent="0.15">
      <c r="A71" s="1">
        <v>69</v>
      </c>
      <c r="B71">
        <v>25110.478524814302</v>
      </c>
      <c r="C71">
        <v>3.17921031605113</v>
      </c>
      <c r="D71">
        <f t="shared" si="20"/>
        <v>10.019124931438324</v>
      </c>
      <c r="E71">
        <f t="shared" si="21"/>
        <v>76.778764519613588</v>
      </c>
      <c r="F71">
        <v>61114.173923913702</v>
      </c>
      <c r="G71">
        <v>2.92510986328125</v>
      </c>
      <c r="H71">
        <f t="shared" si="22"/>
        <v>6.0798404295995185</v>
      </c>
      <c r="I71">
        <f t="shared" si="23"/>
        <v>46.591158395110917</v>
      </c>
      <c r="J71">
        <v>97119.207656009996</v>
      </c>
      <c r="K71">
        <v>3.1804125236740401</v>
      </c>
      <c r="L71">
        <f t="shared" si="24"/>
        <v>9.8674525681571374</v>
      </c>
      <c r="M71">
        <f t="shared" si="25"/>
        <v>76.505690446775205</v>
      </c>
      <c r="N71">
        <v>133122.58896311</v>
      </c>
      <c r="O71">
        <v>2.92266845703125</v>
      </c>
      <c r="P71">
        <f t="shared" si="26"/>
        <v>5.9281680663182481</v>
      </c>
      <c r="Q71">
        <f t="shared" si="27"/>
        <v>45.963088027582536</v>
      </c>
      <c r="R71">
        <v>169127.96868220501</v>
      </c>
      <c r="S71">
        <v>3.18189216382609</v>
      </c>
      <c r="T71">
        <f t="shared" si="28"/>
        <v>9.8705043259694492</v>
      </c>
      <c r="U71">
        <f t="shared" si="29"/>
        <v>76.511248192783668</v>
      </c>
      <c r="V71">
        <v>205131.35999030501</v>
      </c>
      <c r="W71">
        <v>2.919921875</v>
      </c>
      <c r="X71">
        <f t="shared" si="30"/>
        <v>5.9312198241308387</v>
      </c>
      <c r="Y71">
        <f t="shared" si="31"/>
        <v>45.975870843404145</v>
      </c>
      <c r="Z71">
        <v>241136.75871640001</v>
      </c>
      <c r="AA71">
        <v>3.1823083126184399</v>
      </c>
      <c r="AB71">
        <f t="shared" si="32"/>
        <v>9.8735560837819492</v>
      </c>
      <c r="AC71">
        <f t="shared" si="33"/>
        <v>76.516803309965653</v>
      </c>
      <c r="AD71">
        <v>277140.18602550001</v>
      </c>
      <c r="AE71">
        <v>2.92144775390625</v>
      </c>
      <c r="AF71">
        <f t="shared" si="34"/>
        <v>5.9342715819433307</v>
      </c>
      <c r="AG71">
        <f t="shared" si="35"/>
        <v>45.988647612922641</v>
      </c>
      <c r="AH71">
        <v>313145.77175459499</v>
      </c>
      <c r="AI71">
        <v>3.1829833984375</v>
      </c>
      <c r="AJ71">
        <f t="shared" si="36"/>
        <v>9.876302665813192</v>
      </c>
      <c r="AK71">
        <f t="shared" si="37"/>
        <v>76.521800669323667</v>
      </c>
      <c r="AL71">
        <v>349149.23106369498</v>
      </c>
      <c r="AM71">
        <v>2.92083740234375</v>
      </c>
      <c r="AN71">
        <f t="shared" si="38"/>
        <v>5.9370181639745887</v>
      </c>
      <c r="AO71">
        <f t="shared" si="39"/>
        <v>46.000141539446282</v>
      </c>
    </row>
    <row r="72" spans="1:41" x14ac:dyDescent="0.15">
      <c r="A72" s="1">
        <v>70</v>
      </c>
      <c r="B72">
        <v>25474.104786522501</v>
      </c>
      <c r="C72">
        <v>3.1807978466303601</v>
      </c>
      <c r="D72">
        <f t="shared" si="20"/>
        <v>10.120132226357269</v>
      </c>
      <c r="E72">
        <f t="shared" si="21"/>
        <v>77.552805702293156</v>
      </c>
      <c r="F72">
        <v>61477.800185621898</v>
      </c>
      <c r="G72">
        <v>2.9241943359375</v>
      </c>
      <c r="H72">
        <f t="shared" si="22"/>
        <v>5.978833134680575</v>
      </c>
      <c r="I72">
        <f t="shared" si="23"/>
        <v>45.817117212431363</v>
      </c>
      <c r="J72">
        <v>97482.833917718206</v>
      </c>
      <c r="K72">
        <v>3.1814081981929698</v>
      </c>
      <c r="L72">
        <f t="shared" si="24"/>
        <v>9.9684598630760846</v>
      </c>
      <c r="M72">
        <f t="shared" si="25"/>
        <v>77.288834098549401</v>
      </c>
      <c r="N72">
        <v>133486.21522481801</v>
      </c>
      <c r="O72">
        <v>2.921142578125</v>
      </c>
      <c r="P72">
        <f t="shared" si="26"/>
        <v>5.827160771399357</v>
      </c>
      <c r="Q72">
        <f t="shared" si="27"/>
        <v>45.179944375808788</v>
      </c>
      <c r="R72">
        <v>169491.59494391299</v>
      </c>
      <c r="S72">
        <v>3.18282618667088</v>
      </c>
      <c r="T72">
        <f t="shared" si="28"/>
        <v>9.9715116208883323</v>
      </c>
      <c r="U72">
        <f t="shared" si="29"/>
        <v>77.294206586357078</v>
      </c>
      <c r="V72">
        <v>205494.98625201301</v>
      </c>
      <c r="W72">
        <v>2.91839599609375</v>
      </c>
      <c r="X72">
        <f t="shared" si="30"/>
        <v>5.8302125292119475</v>
      </c>
      <c r="Y72">
        <f t="shared" si="31"/>
        <v>45.192912449830679</v>
      </c>
      <c r="Z72">
        <v>241500.38497810799</v>
      </c>
      <c r="AA72">
        <v>3.1833378955572198</v>
      </c>
      <c r="AB72">
        <f t="shared" si="32"/>
        <v>9.9745633787008323</v>
      </c>
      <c r="AC72">
        <f t="shared" si="33"/>
        <v>77.299576532966313</v>
      </c>
      <c r="AD72">
        <v>277503.81228720798</v>
      </c>
      <c r="AE72">
        <v>2.919921875</v>
      </c>
      <c r="AF72">
        <f t="shared" si="34"/>
        <v>5.8332642870244475</v>
      </c>
      <c r="AG72">
        <f t="shared" si="35"/>
        <v>45.205874389921966</v>
      </c>
      <c r="AH72">
        <v>313509.39801630302</v>
      </c>
      <c r="AI72">
        <v>3.1842041015625</v>
      </c>
      <c r="AJ72">
        <f t="shared" si="36"/>
        <v>9.9773099607320912</v>
      </c>
      <c r="AK72">
        <f t="shared" si="37"/>
        <v>77.304407313679206</v>
      </c>
      <c r="AL72">
        <v>349512.85732540302</v>
      </c>
      <c r="AM72">
        <v>2.9193115234375</v>
      </c>
      <c r="AN72">
        <f t="shared" si="38"/>
        <v>5.8360108690556896</v>
      </c>
      <c r="AO72">
        <f t="shared" si="39"/>
        <v>45.217534895090758</v>
      </c>
    </row>
    <row r="73" spans="1:41" x14ac:dyDescent="0.15">
      <c r="A73" s="1">
        <v>71</v>
      </c>
      <c r="B73">
        <v>25837.7310482307</v>
      </c>
      <c r="C73">
        <v>3.18131572068339</v>
      </c>
      <c r="D73">
        <f t="shared" si="20"/>
        <v>10.221139521276214</v>
      </c>
      <c r="E73">
        <f t="shared" si="21"/>
        <v>78.326846884972724</v>
      </c>
      <c r="F73">
        <v>61841.426447329999</v>
      </c>
      <c r="G73">
        <v>2.9229736328125</v>
      </c>
      <c r="H73">
        <f t="shared" si="22"/>
        <v>5.8778258397616581</v>
      </c>
      <c r="I73">
        <f t="shared" si="23"/>
        <v>45.043076029752008</v>
      </c>
      <c r="J73">
        <v>97846.460179426402</v>
      </c>
      <c r="K73">
        <v>3.18190449416046</v>
      </c>
      <c r="L73">
        <f t="shared" si="24"/>
        <v>10.069467157995026</v>
      </c>
      <c r="M73">
        <f t="shared" si="25"/>
        <v>78.071977750323526</v>
      </c>
      <c r="N73">
        <v>133849.84148652601</v>
      </c>
      <c r="O73">
        <v>2.91961669921875</v>
      </c>
      <c r="P73">
        <f t="shared" si="26"/>
        <v>5.7261534764804667</v>
      </c>
      <c r="Q73">
        <f t="shared" si="27"/>
        <v>44.396800724035053</v>
      </c>
      <c r="R73">
        <v>169855.22120562199</v>
      </c>
      <c r="S73">
        <v>3.1838773476959199</v>
      </c>
      <c r="T73">
        <f t="shared" si="28"/>
        <v>10.0725189158075</v>
      </c>
      <c r="U73">
        <f t="shared" si="29"/>
        <v>78.077164979932675</v>
      </c>
      <c r="V73">
        <v>205858.61251372201</v>
      </c>
      <c r="W73">
        <v>2.91656494140625</v>
      </c>
      <c r="X73">
        <f t="shared" si="30"/>
        <v>5.7292052342927819</v>
      </c>
      <c r="Y73">
        <f t="shared" si="31"/>
        <v>44.409954056255089</v>
      </c>
      <c r="Z73">
        <v>241864.01123981699</v>
      </c>
      <c r="AA73">
        <v>3.1842472577337202</v>
      </c>
      <c r="AB73">
        <f t="shared" si="32"/>
        <v>10.07557067362</v>
      </c>
      <c r="AC73">
        <f t="shared" si="33"/>
        <v>78.08234975596919</v>
      </c>
      <c r="AD73">
        <v>277867.43854891701</v>
      </c>
      <c r="AE73">
        <v>2.9180908203125</v>
      </c>
      <c r="AF73">
        <f t="shared" si="34"/>
        <v>5.732256992105274</v>
      </c>
      <c r="AG73">
        <f t="shared" si="35"/>
        <v>44.423101166919047</v>
      </c>
      <c r="AH73">
        <v>313873.02427801199</v>
      </c>
      <c r="AI73">
        <v>3.1852614277542202</v>
      </c>
      <c r="AJ73">
        <f t="shared" si="36"/>
        <v>10.07831725565125</v>
      </c>
      <c r="AK73">
        <f t="shared" si="37"/>
        <v>78.087013958036735</v>
      </c>
      <c r="AL73">
        <v>349876.48358711199</v>
      </c>
      <c r="AM73">
        <v>2.91748046875</v>
      </c>
      <c r="AN73">
        <f t="shared" si="38"/>
        <v>5.7350035741365319</v>
      </c>
      <c r="AO73">
        <f t="shared" si="39"/>
        <v>44.434928250733229</v>
      </c>
    </row>
    <row r="74" spans="1:41" x14ac:dyDescent="0.15">
      <c r="A74" s="1">
        <v>72</v>
      </c>
      <c r="B74">
        <v>26201.3573099389</v>
      </c>
      <c r="C74">
        <v>3.1823175603693299</v>
      </c>
      <c r="D74">
        <f t="shared" si="20"/>
        <v>10.322146816195158</v>
      </c>
      <c r="E74">
        <f t="shared" si="21"/>
        <v>79.100888067652278</v>
      </c>
      <c r="F74">
        <v>62205.052709038202</v>
      </c>
      <c r="G74">
        <v>2.92144775390625</v>
      </c>
      <c r="H74">
        <f t="shared" si="22"/>
        <v>5.7768185448427127</v>
      </c>
      <c r="I74">
        <f t="shared" si="23"/>
        <v>44.269034847072447</v>
      </c>
      <c r="J74">
        <v>98210.086441134597</v>
      </c>
      <c r="K74">
        <v>3.1835660067470499</v>
      </c>
      <c r="L74">
        <f t="shared" si="24"/>
        <v>10.17047445291397</v>
      </c>
      <c r="M74">
        <f t="shared" si="25"/>
        <v>78.85512140209768</v>
      </c>
      <c r="N74">
        <v>134213.46774823501</v>
      </c>
      <c r="O74">
        <v>2.9180908203125</v>
      </c>
      <c r="P74">
        <f t="shared" si="26"/>
        <v>5.6251461815613011</v>
      </c>
      <c r="Q74">
        <f t="shared" si="27"/>
        <v>43.61365707225918</v>
      </c>
      <c r="R74">
        <v>170218.84746732999</v>
      </c>
      <c r="S74">
        <v>3.1851473721591499</v>
      </c>
      <c r="T74">
        <f t="shared" si="28"/>
        <v>10.17352621072639</v>
      </c>
      <c r="U74">
        <f t="shared" si="29"/>
        <v>78.860123373506127</v>
      </c>
      <c r="V74">
        <v>206222.23877543001</v>
      </c>
      <c r="W74">
        <v>2.9150390625</v>
      </c>
      <c r="X74">
        <f t="shared" si="30"/>
        <v>5.6281979393738917</v>
      </c>
      <c r="Y74">
        <f t="shared" si="31"/>
        <v>43.626995662681637</v>
      </c>
      <c r="Z74">
        <v>242227.63750152499</v>
      </c>
      <c r="AA74">
        <v>3.18603515625</v>
      </c>
      <c r="AB74">
        <f t="shared" si="32"/>
        <v>10.17657796853889</v>
      </c>
      <c r="AC74">
        <f t="shared" si="33"/>
        <v>78.865122978969922</v>
      </c>
      <c r="AD74">
        <v>278231.06481062499</v>
      </c>
      <c r="AE74">
        <v>2.916259765625</v>
      </c>
      <c r="AF74">
        <f t="shared" si="34"/>
        <v>5.6312496971863917</v>
      </c>
      <c r="AG74">
        <f t="shared" si="35"/>
        <v>43.640327943918386</v>
      </c>
      <c r="AH74">
        <v>314236.65053972002</v>
      </c>
      <c r="AI74">
        <v>3.1869784268466299</v>
      </c>
      <c r="AJ74">
        <f t="shared" si="36"/>
        <v>10.179324550570147</v>
      </c>
      <c r="AK74">
        <f t="shared" si="37"/>
        <v>78.869620602392246</v>
      </c>
      <c r="AL74">
        <v>350240.10984882002</v>
      </c>
      <c r="AM74">
        <v>2.9156771573153799</v>
      </c>
      <c r="AN74">
        <f t="shared" si="38"/>
        <v>5.6339962792176337</v>
      </c>
      <c r="AO74">
        <f t="shared" si="39"/>
        <v>43.652321606377711</v>
      </c>
    </row>
    <row r="75" spans="1:41" x14ac:dyDescent="0.15">
      <c r="A75" s="1">
        <v>73</v>
      </c>
      <c r="B75">
        <v>26564.983571647001</v>
      </c>
      <c r="C75">
        <v>3.1829833984375</v>
      </c>
      <c r="D75">
        <f t="shared" si="20"/>
        <v>10.423154111114075</v>
      </c>
      <c r="E75">
        <f t="shared" si="21"/>
        <v>79.874929250331633</v>
      </c>
      <c r="F75">
        <v>62568.678970746398</v>
      </c>
      <c r="G75">
        <v>2.92022705078125</v>
      </c>
      <c r="H75">
        <f t="shared" si="22"/>
        <v>5.6758112499237692</v>
      </c>
      <c r="I75">
        <f t="shared" si="23"/>
        <v>43.494993664392887</v>
      </c>
      <c r="J75">
        <v>98573.712702842793</v>
      </c>
      <c r="K75">
        <v>3.18472814078293</v>
      </c>
      <c r="L75">
        <f t="shared" si="24"/>
        <v>10.271481747832913</v>
      </c>
      <c r="M75">
        <f t="shared" si="25"/>
        <v>79.638265053871834</v>
      </c>
      <c r="N75">
        <v>134577.09400994299</v>
      </c>
      <c r="O75">
        <v>2.91656494140625</v>
      </c>
      <c r="P75">
        <f t="shared" si="26"/>
        <v>5.5241388866424188</v>
      </c>
      <c r="Q75">
        <f t="shared" si="27"/>
        <v>42.830513420485495</v>
      </c>
      <c r="R75">
        <v>170582.473729038</v>
      </c>
      <c r="S75">
        <v>3.1868181324966902</v>
      </c>
      <c r="T75">
        <f t="shared" si="28"/>
        <v>10.27453350564528</v>
      </c>
      <c r="U75">
        <f t="shared" si="29"/>
        <v>79.643081767079593</v>
      </c>
      <c r="V75">
        <v>206585.86503713799</v>
      </c>
      <c r="W75">
        <v>2.9132080078125</v>
      </c>
      <c r="X75">
        <f t="shared" si="30"/>
        <v>5.5271906444550094</v>
      </c>
      <c r="Y75">
        <f t="shared" si="31"/>
        <v>42.844037269108235</v>
      </c>
      <c r="Z75">
        <v>242591.263763233</v>
      </c>
      <c r="AA75">
        <v>3.1870369959359302</v>
      </c>
      <c r="AB75">
        <f t="shared" si="32"/>
        <v>10.27758526345778</v>
      </c>
      <c r="AC75">
        <f t="shared" si="33"/>
        <v>79.647896201970653</v>
      </c>
      <c r="AD75">
        <v>278594.69107233302</v>
      </c>
      <c r="AE75">
        <v>2.9144287109375</v>
      </c>
      <c r="AF75">
        <f t="shared" si="34"/>
        <v>5.5302424022674925</v>
      </c>
      <c r="AG75">
        <f t="shared" si="35"/>
        <v>42.857554720917591</v>
      </c>
      <c r="AH75">
        <v>314600.276801428</v>
      </c>
      <c r="AI75">
        <v>3.18799876203457</v>
      </c>
      <c r="AJ75">
        <f t="shared" si="36"/>
        <v>10.28033184548903</v>
      </c>
      <c r="AK75">
        <f t="shared" si="37"/>
        <v>79.652227246747643</v>
      </c>
      <c r="AL75">
        <v>350603.736110528</v>
      </c>
      <c r="AM75">
        <v>2.913818359375</v>
      </c>
      <c r="AN75">
        <f t="shared" si="38"/>
        <v>5.5329889842987505</v>
      </c>
      <c r="AO75">
        <f t="shared" si="39"/>
        <v>42.869714962022307</v>
      </c>
    </row>
    <row r="76" spans="1:41" x14ac:dyDescent="0.15">
      <c r="A76" s="1">
        <v>74</v>
      </c>
      <c r="B76">
        <v>26928.6098333552</v>
      </c>
      <c r="C76">
        <v>3.1839944858743698</v>
      </c>
      <c r="D76">
        <f t="shared" si="20"/>
        <v>10.524161406033018</v>
      </c>
      <c r="E76">
        <f t="shared" si="21"/>
        <v>80.648970433011186</v>
      </c>
      <c r="F76">
        <v>62932.305232454601</v>
      </c>
      <c r="G76">
        <v>2.91900634765625</v>
      </c>
      <c r="H76">
        <f t="shared" si="22"/>
        <v>5.5748039550048238</v>
      </c>
      <c r="I76">
        <f t="shared" si="23"/>
        <v>42.720952481713319</v>
      </c>
      <c r="J76">
        <v>98937.338964551003</v>
      </c>
      <c r="K76">
        <v>3.1853292445945902</v>
      </c>
      <c r="L76">
        <f t="shared" si="24"/>
        <v>10.372489042751861</v>
      </c>
      <c r="M76">
        <f t="shared" si="25"/>
        <v>80.42140870564603</v>
      </c>
      <c r="N76">
        <v>134940.72027165099</v>
      </c>
      <c r="O76">
        <v>2.9150390625</v>
      </c>
      <c r="P76">
        <f t="shared" si="26"/>
        <v>5.4231315917235277</v>
      </c>
      <c r="Q76">
        <f t="shared" si="27"/>
        <v>42.047369768711754</v>
      </c>
      <c r="R76">
        <v>170946.09999074601</v>
      </c>
      <c r="S76">
        <v>3.1877614030933001</v>
      </c>
      <c r="T76">
        <f t="shared" si="28"/>
        <v>10.37554080056417</v>
      </c>
      <c r="U76">
        <f t="shared" si="29"/>
        <v>80.426040160653059</v>
      </c>
      <c r="V76">
        <v>206949.491298846</v>
      </c>
      <c r="W76">
        <v>2.911376953125</v>
      </c>
      <c r="X76">
        <f t="shared" si="30"/>
        <v>5.4261833495361183</v>
      </c>
      <c r="Y76">
        <f t="shared" si="31"/>
        <v>42.061078875534768</v>
      </c>
      <c r="Z76">
        <v>242954.89002494101</v>
      </c>
      <c r="AA76">
        <v>3.1882761945627598</v>
      </c>
      <c r="AB76">
        <f t="shared" si="32"/>
        <v>10.37859255837667</v>
      </c>
      <c r="AC76">
        <f t="shared" si="33"/>
        <v>80.43066942497137</v>
      </c>
      <c r="AD76">
        <v>278958.317334041</v>
      </c>
      <c r="AE76">
        <v>2.91259765625</v>
      </c>
      <c r="AF76">
        <f t="shared" si="34"/>
        <v>5.4292351073486103</v>
      </c>
      <c r="AG76">
        <f t="shared" si="35"/>
        <v>42.074781497916923</v>
      </c>
      <c r="AH76">
        <v>314963.90306313598</v>
      </c>
      <c r="AI76">
        <v>3.1894876499365798</v>
      </c>
      <c r="AJ76">
        <f t="shared" si="36"/>
        <v>10.381339140407913</v>
      </c>
      <c r="AK76">
        <f t="shared" si="37"/>
        <v>80.434833891103054</v>
      </c>
      <c r="AL76">
        <v>350967.36237223598</v>
      </c>
      <c r="AM76">
        <v>2.9119873046875</v>
      </c>
      <c r="AN76">
        <f t="shared" si="38"/>
        <v>5.4319816893798683</v>
      </c>
      <c r="AO76">
        <f t="shared" si="39"/>
        <v>42.087108317666917</v>
      </c>
    </row>
    <row r="77" spans="1:41" x14ac:dyDescent="0.15">
      <c r="A77" s="1">
        <v>75</v>
      </c>
      <c r="B77">
        <v>27292.236095063399</v>
      </c>
      <c r="C77">
        <v>3.18511962890625</v>
      </c>
      <c r="D77">
        <f t="shared" si="20"/>
        <v>10.625168700951964</v>
      </c>
      <c r="E77">
        <f t="shared" si="21"/>
        <v>81.42301161569074</v>
      </c>
      <c r="F77">
        <v>63295.931494162804</v>
      </c>
      <c r="G77">
        <v>2.91748046875</v>
      </c>
      <c r="H77">
        <f t="shared" si="22"/>
        <v>5.4737966600858785</v>
      </c>
      <c r="I77">
        <f t="shared" si="23"/>
        <v>41.946911299033751</v>
      </c>
      <c r="J77">
        <v>99300.965226259199</v>
      </c>
      <c r="K77">
        <v>3.1869414358429098</v>
      </c>
      <c r="L77">
        <f t="shared" si="24"/>
        <v>10.473496337670804</v>
      </c>
      <c r="M77">
        <f t="shared" si="25"/>
        <v>81.20455235742017</v>
      </c>
      <c r="N77">
        <v>135304.346533359</v>
      </c>
      <c r="O77">
        <v>2.9132080078125</v>
      </c>
      <c r="P77">
        <f t="shared" si="26"/>
        <v>5.3221242968046374</v>
      </c>
      <c r="Q77">
        <f t="shared" si="27"/>
        <v>41.264226116938005</v>
      </c>
      <c r="R77">
        <v>171309.72625245401</v>
      </c>
      <c r="S77">
        <v>3.1890776663117402</v>
      </c>
      <c r="T77">
        <f t="shared" si="28"/>
        <v>10.476548095483061</v>
      </c>
      <c r="U77">
        <f t="shared" si="29"/>
        <v>81.208998554226511</v>
      </c>
      <c r="V77">
        <v>207313.117560554</v>
      </c>
      <c r="W77">
        <v>2.9095458984375</v>
      </c>
      <c r="X77">
        <f t="shared" si="30"/>
        <v>5.325176054617228</v>
      </c>
      <c r="Y77">
        <f t="shared" si="31"/>
        <v>41.278120481961309</v>
      </c>
      <c r="Z77">
        <v>243318.51628664901</v>
      </c>
      <c r="AA77">
        <v>3.1899931936552002</v>
      </c>
      <c r="AB77">
        <f t="shared" si="32"/>
        <v>10.479599853295561</v>
      </c>
      <c r="AC77">
        <f t="shared" si="33"/>
        <v>81.213442647972087</v>
      </c>
      <c r="AD77">
        <v>279321.94359574898</v>
      </c>
      <c r="AE77">
        <v>2.91046142578125</v>
      </c>
      <c r="AF77">
        <f t="shared" si="34"/>
        <v>5.328227812429728</v>
      </c>
      <c r="AG77">
        <f t="shared" si="35"/>
        <v>41.292008274916256</v>
      </c>
      <c r="AH77">
        <v>315327.52932484401</v>
      </c>
      <c r="AI77">
        <v>3.19090872099923</v>
      </c>
      <c r="AJ77">
        <f t="shared" si="36"/>
        <v>10.482346435326811</v>
      </c>
      <c r="AK77">
        <f t="shared" si="37"/>
        <v>81.217440535458564</v>
      </c>
      <c r="AL77">
        <v>351330.98863394401</v>
      </c>
      <c r="AM77">
        <v>2.90985107421875</v>
      </c>
      <c r="AN77">
        <f t="shared" si="38"/>
        <v>5.3309743944609691</v>
      </c>
      <c r="AO77">
        <f t="shared" si="39"/>
        <v>41.304501673311393</v>
      </c>
    </row>
    <row r="78" spans="1:41" x14ac:dyDescent="0.15">
      <c r="A78" s="1">
        <v>76</v>
      </c>
      <c r="B78">
        <v>27655.862356771599</v>
      </c>
      <c r="C78">
        <v>3.18634033203125</v>
      </c>
      <c r="D78">
        <f t="shared" si="20"/>
        <v>10.726175995870907</v>
      </c>
      <c r="E78">
        <f t="shared" si="21"/>
        <v>82.197052798370308</v>
      </c>
      <c r="F78">
        <v>63659.557755870999</v>
      </c>
      <c r="G78">
        <v>2.91595458984375</v>
      </c>
      <c r="H78">
        <f t="shared" si="22"/>
        <v>5.3727893651669358</v>
      </c>
      <c r="I78">
        <f t="shared" si="23"/>
        <v>41.172870116354204</v>
      </c>
      <c r="J78">
        <v>99664.591487967395</v>
      </c>
      <c r="K78">
        <v>3.1879895142833501</v>
      </c>
      <c r="L78">
        <f t="shared" si="24"/>
        <v>10.574503632589746</v>
      </c>
      <c r="M78">
        <f t="shared" si="25"/>
        <v>81.987696009194309</v>
      </c>
      <c r="N78">
        <v>135667.97279506701</v>
      </c>
      <c r="O78">
        <v>2.911376953125</v>
      </c>
      <c r="P78">
        <f t="shared" si="26"/>
        <v>5.2211170018857462</v>
      </c>
      <c r="Q78">
        <f t="shared" si="27"/>
        <v>40.481082465164263</v>
      </c>
      <c r="R78">
        <v>171673.35251416301</v>
      </c>
      <c r="S78">
        <v>3.1902428829312299</v>
      </c>
      <c r="T78">
        <f t="shared" si="28"/>
        <v>10.577555390402226</v>
      </c>
      <c r="U78">
        <f t="shared" si="29"/>
        <v>81.991956947802109</v>
      </c>
      <c r="V78">
        <v>207676.743822263</v>
      </c>
      <c r="W78">
        <v>2.90740966796875</v>
      </c>
      <c r="X78">
        <f t="shared" si="30"/>
        <v>5.2241687596980624</v>
      </c>
      <c r="Y78">
        <f t="shared" si="31"/>
        <v>40.495162088385719</v>
      </c>
      <c r="Z78">
        <v>243682.14254835801</v>
      </c>
      <c r="AA78">
        <v>3.1907946654039798</v>
      </c>
      <c r="AB78">
        <f t="shared" si="32"/>
        <v>10.580607148214726</v>
      </c>
      <c r="AC78">
        <f t="shared" si="33"/>
        <v>81.99621587097495</v>
      </c>
      <c r="AD78">
        <v>279685.569857458</v>
      </c>
      <c r="AE78">
        <v>2.90863037109375</v>
      </c>
      <c r="AF78">
        <f t="shared" si="34"/>
        <v>5.2272205175105544</v>
      </c>
      <c r="AG78">
        <f t="shared" si="35"/>
        <v>40.509235051913336</v>
      </c>
      <c r="AH78">
        <v>315691.15558655298</v>
      </c>
      <c r="AI78">
        <v>3.1918920651833198</v>
      </c>
      <c r="AJ78">
        <f t="shared" si="36"/>
        <v>10.583353730245967</v>
      </c>
      <c r="AK78">
        <f t="shared" si="37"/>
        <v>82.000047179816079</v>
      </c>
      <c r="AL78">
        <v>351694.61489565298</v>
      </c>
      <c r="AM78">
        <v>2.90771484375</v>
      </c>
      <c r="AN78">
        <f t="shared" si="38"/>
        <v>5.2299670995418124</v>
      </c>
      <c r="AO78">
        <f t="shared" si="39"/>
        <v>40.521895028953871</v>
      </c>
    </row>
    <row r="79" spans="1:41" x14ac:dyDescent="0.15">
      <c r="A79" s="1">
        <v>77</v>
      </c>
      <c r="B79">
        <v>28019.488618479802</v>
      </c>
      <c r="C79">
        <v>3.1871880425347299</v>
      </c>
      <c r="D79">
        <f t="shared" si="20"/>
        <v>10.827183290789852</v>
      </c>
      <c r="E79">
        <f t="shared" si="21"/>
        <v>82.971093981049876</v>
      </c>
      <c r="F79">
        <v>64023.184017579202</v>
      </c>
      <c r="G79">
        <v>2.9144287109375</v>
      </c>
      <c r="H79">
        <f t="shared" si="22"/>
        <v>5.2717820702479905</v>
      </c>
      <c r="I79">
        <f t="shared" si="23"/>
        <v>40.398828933674643</v>
      </c>
      <c r="J79">
        <v>100028.217749676</v>
      </c>
      <c r="K79">
        <v>3.189697265625</v>
      </c>
      <c r="L79">
        <f t="shared" si="24"/>
        <v>10.675510927508803</v>
      </c>
      <c r="M79">
        <f t="shared" si="25"/>
        <v>82.770839660969344</v>
      </c>
      <c r="N79">
        <v>136031.599056776</v>
      </c>
      <c r="O79">
        <v>2.9095458984375</v>
      </c>
      <c r="P79">
        <f t="shared" si="26"/>
        <v>5.1201097069665806</v>
      </c>
      <c r="Q79">
        <f t="shared" si="27"/>
        <v>39.69793881338839</v>
      </c>
      <c r="R79">
        <v>172036.97877587099</v>
      </c>
      <c r="S79">
        <v>3.1912909613716001</v>
      </c>
      <c r="T79">
        <f t="shared" si="28"/>
        <v>10.67856268532111</v>
      </c>
      <c r="U79">
        <f t="shared" si="29"/>
        <v>82.774915341375504</v>
      </c>
      <c r="V79">
        <v>208040.37008397101</v>
      </c>
      <c r="W79">
        <v>2.9052734375</v>
      </c>
      <c r="X79">
        <f t="shared" si="30"/>
        <v>5.1231614647791712</v>
      </c>
      <c r="Y79">
        <f t="shared" si="31"/>
        <v>39.712203694812253</v>
      </c>
      <c r="Z79">
        <v>244045.76881006599</v>
      </c>
      <c r="AA79">
        <v>3.1927490234375</v>
      </c>
      <c r="AB79">
        <f t="shared" si="32"/>
        <v>10.68161444313361</v>
      </c>
      <c r="AC79">
        <f t="shared" si="33"/>
        <v>82.778989093975625</v>
      </c>
      <c r="AD79">
        <v>280049.19611916598</v>
      </c>
      <c r="AE79">
        <v>2.906494140625</v>
      </c>
      <c r="AF79">
        <f t="shared" si="34"/>
        <v>5.1262132225916712</v>
      </c>
      <c r="AG79">
        <f t="shared" si="35"/>
        <v>39.726461828912669</v>
      </c>
      <c r="AH79">
        <v>316054.78184826102</v>
      </c>
      <c r="AI79">
        <v>3.1934271918403501</v>
      </c>
      <c r="AJ79">
        <f t="shared" si="36"/>
        <v>10.684361025164868</v>
      </c>
      <c r="AK79">
        <f t="shared" si="37"/>
        <v>82.782653824171618</v>
      </c>
      <c r="AL79">
        <v>352058.24115736102</v>
      </c>
      <c r="AM79">
        <v>2.90557861328125</v>
      </c>
      <c r="AN79">
        <f t="shared" si="38"/>
        <v>5.1289598046229132</v>
      </c>
      <c r="AO79">
        <f t="shared" si="39"/>
        <v>39.739288384598346</v>
      </c>
    </row>
    <row r="80" spans="1:41" x14ac:dyDescent="0.15">
      <c r="A80" s="1">
        <v>78</v>
      </c>
      <c r="B80">
        <v>28383.114880188001</v>
      </c>
      <c r="C80">
        <v>3.1881251479640298</v>
      </c>
      <c r="D80">
        <f t="shared" si="20"/>
        <v>10.928190585708798</v>
      </c>
      <c r="E80">
        <f t="shared" si="21"/>
        <v>83.745135163729429</v>
      </c>
      <c r="F80">
        <v>64386.810279287398</v>
      </c>
      <c r="G80">
        <v>2.91259765625</v>
      </c>
      <c r="H80">
        <f t="shared" si="22"/>
        <v>5.1707747753290469</v>
      </c>
      <c r="I80">
        <f t="shared" si="23"/>
        <v>39.624787750995083</v>
      </c>
      <c r="J80">
        <v>100391.844011384</v>
      </c>
      <c r="K80">
        <v>3.19065903172348</v>
      </c>
      <c r="L80">
        <f t="shared" si="24"/>
        <v>10.776518222427693</v>
      </c>
      <c r="M80">
        <f t="shared" si="25"/>
        <v>83.553983312743085</v>
      </c>
      <c r="N80">
        <v>136395.22531848401</v>
      </c>
      <c r="O80">
        <v>2.90771484375</v>
      </c>
      <c r="P80">
        <f t="shared" si="26"/>
        <v>5.0191024120476904</v>
      </c>
      <c r="Q80">
        <f t="shared" si="27"/>
        <v>38.914795161614649</v>
      </c>
      <c r="R80">
        <v>172400.60503757899</v>
      </c>
      <c r="S80">
        <v>3.1927490234375</v>
      </c>
      <c r="T80">
        <f t="shared" si="28"/>
        <v>10.77956998024</v>
      </c>
      <c r="U80">
        <f t="shared" si="29"/>
        <v>83.557873734948956</v>
      </c>
      <c r="V80">
        <v>208403.99634567901</v>
      </c>
      <c r="W80">
        <v>2.90313720703125</v>
      </c>
      <c r="X80">
        <f t="shared" si="30"/>
        <v>5.022154169860281</v>
      </c>
      <c r="Y80">
        <f t="shared" si="31"/>
        <v>38.929245301238794</v>
      </c>
      <c r="Z80">
        <v>244409.39507177399</v>
      </c>
      <c r="AA80">
        <v>3.1936183120265298</v>
      </c>
      <c r="AB80">
        <f t="shared" si="32"/>
        <v>10.7826217380525</v>
      </c>
      <c r="AC80">
        <f t="shared" si="33"/>
        <v>83.561762316976356</v>
      </c>
      <c r="AD80">
        <v>280412.82238087401</v>
      </c>
      <c r="AE80">
        <v>2.904052734375</v>
      </c>
      <c r="AF80">
        <f t="shared" si="34"/>
        <v>5.025205927672773</v>
      </c>
      <c r="AG80">
        <f t="shared" si="35"/>
        <v>38.943688605911881</v>
      </c>
      <c r="AH80">
        <v>316418.40810996899</v>
      </c>
      <c r="AI80">
        <v>3.1952366684421798</v>
      </c>
      <c r="AJ80">
        <f t="shared" si="36"/>
        <v>10.78536832008375</v>
      </c>
      <c r="AK80">
        <f t="shared" si="37"/>
        <v>83.565260468527001</v>
      </c>
      <c r="AL80">
        <v>352421.86741906899</v>
      </c>
      <c r="AM80">
        <v>2.9031834457859298</v>
      </c>
      <c r="AN80">
        <f t="shared" si="38"/>
        <v>5.027952509704031</v>
      </c>
      <c r="AO80">
        <f t="shared" si="39"/>
        <v>38.956681740242949</v>
      </c>
    </row>
    <row r="81" spans="1:41" x14ac:dyDescent="0.15">
      <c r="A81" s="1">
        <v>79</v>
      </c>
      <c r="B81">
        <v>28746.7411418962</v>
      </c>
      <c r="C81">
        <v>3.18939208984375</v>
      </c>
      <c r="D81">
        <f t="shared" si="20"/>
        <v>11.029197880627741</v>
      </c>
      <c r="E81">
        <f t="shared" si="21"/>
        <v>84.519176346408997</v>
      </c>
      <c r="F81">
        <v>64750.436540995601</v>
      </c>
      <c r="G81">
        <v>2.91107177734375</v>
      </c>
      <c r="H81">
        <f t="shared" si="22"/>
        <v>5.0697674804101016</v>
      </c>
      <c r="I81">
        <f t="shared" si="23"/>
        <v>38.850746568315515</v>
      </c>
      <c r="J81">
        <v>100755.470273092</v>
      </c>
      <c r="K81">
        <v>3.1918489090118598</v>
      </c>
      <c r="L81">
        <f t="shared" si="24"/>
        <v>10.87752551734658</v>
      </c>
      <c r="M81">
        <f t="shared" si="25"/>
        <v>84.337126964516798</v>
      </c>
      <c r="N81">
        <v>136758.85158019199</v>
      </c>
      <c r="O81">
        <v>2.90557861328125</v>
      </c>
      <c r="P81">
        <f t="shared" si="26"/>
        <v>4.9180951171288072</v>
      </c>
      <c r="Q81">
        <f t="shared" si="27"/>
        <v>38.131651509840964</v>
      </c>
      <c r="R81">
        <v>172764.231299287</v>
      </c>
      <c r="S81">
        <v>3.19366455078125</v>
      </c>
      <c r="T81">
        <f t="shared" si="28"/>
        <v>10.880577275158892</v>
      </c>
      <c r="U81">
        <f t="shared" si="29"/>
        <v>84.340832128522436</v>
      </c>
      <c r="V81">
        <v>208767.62260738699</v>
      </c>
      <c r="W81">
        <v>2.9010009765625</v>
      </c>
      <c r="X81">
        <f t="shared" si="30"/>
        <v>4.9211468749413978</v>
      </c>
      <c r="Y81">
        <f t="shared" si="31"/>
        <v>38.146286907665392</v>
      </c>
      <c r="Z81">
        <v>244773.021333482</v>
      </c>
      <c r="AA81">
        <v>3.19474037247479</v>
      </c>
      <c r="AB81">
        <f t="shared" si="32"/>
        <v>10.883629032971392</v>
      </c>
      <c r="AC81">
        <f t="shared" si="33"/>
        <v>84.344535539977102</v>
      </c>
      <c r="AD81">
        <v>280776.44864258199</v>
      </c>
      <c r="AE81">
        <v>2.90191650390625</v>
      </c>
      <c r="AF81">
        <f t="shared" si="34"/>
        <v>4.9241986327538898</v>
      </c>
      <c r="AG81">
        <f t="shared" si="35"/>
        <v>38.160915382911206</v>
      </c>
      <c r="AH81">
        <v>316782.03437167697</v>
      </c>
      <c r="AI81">
        <v>3.1968766029433899</v>
      </c>
      <c r="AJ81">
        <f t="shared" si="36"/>
        <v>10.886375615002633</v>
      </c>
      <c r="AK81">
        <f t="shared" si="37"/>
        <v>84.347867112882398</v>
      </c>
      <c r="AL81">
        <v>352785.49368077703</v>
      </c>
      <c r="AM81">
        <v>2.9010009765625</v>
      </c>
      <c r="AN81">
        <f t="shared" si="38"/>
        <v>4.9269452147851318</v>
      </c>
      <c r="AO81">
        <f t="shared" si="39"/>
        <v>38.174075095887424</v>
      </c>
    </row>
    <row r="82" spans="1:41" x14ac:dyDescent="0.15">
      <c r="A82" s="1">
        <v>80</v>
      </c>
      <c r="B82">
        <v>29110.367403604399</v>
      </c>
      <c r="C82">
        <v>3.1903076171875</v>
      </c>
      <c r="D82">
        <f t="shared" si="20"/>
        <v>11.130205175546685</v>
      </c>
      <c r="E82">
        <f t="shared" si="21"/>
        <v>85.293217529088551</v>
      </c>
      <c r="F82">
        <v>65114.062802703796</v>
      </c>
      <c r="G82">
        <v>2.90924072265625</v>
      </c>
      <c r="H82">
        <f t="shared" si="22"/>
        <v>4.9687601854911581</v>
      </c>
      <c r="I82">
        <f t="shared" si="23"/>
        <v>38.076705385635961</v>
      </c>
      <c r="J82">
        <v>101119.0965348</v>
      </c>
      <c r="K82">
        <v>3.1928106751107301</v>
      </c>
      <c r="L82">
        <f t="shared" si="24"/>
        <v>10.978532812265472</v>
      </c>
      <c r="M82">
        <f t="shared" si="25"/>
        <v>85.120270616290554</v>
      </c>
      <c r="N82">
        <v>137122.47784189999</v>
      </c>
      <c r="O82">
        <v>2.9034423828125</v>
      </c>
      <c r="P82">
        <f t="shared" si="26"/>
        <v>4.8170878222099169</v>
      </c>
      <c r="Q82">
        <f t="shared" si="27"/>
        <v>37.348507858067222</v>
      </c>
      <c r="R82">
        <v>173127.85756099501</v>
      </c>
      <c r="S82">
        <v>3.1960134795212798</v>
      </c>
      <c r="T82">
        <f t="shared" si="28"/>
        <v>10.981584570077782</v>
      </c>
      <c r="U82">
        <f t="shared" si="29"/>
        <v>85.123790522095902</v>
      </c>
      <c r="V82">
        <v>209131.248869095</v>
      </c>
      <c r="W82">
        <v>2.8985595703125</v>
      </c>
      <c r="X82">
        <f t="shared" si="30"/>
        <v>4.8201395800225075</v>
      </c>
      <c r="Y82">
        <f t="shared" si="31"/>
        <v>37.36332851409194</v>
      </c>
      <c r="Z82">
        <v>245136.64759519001</v>
      </c>
      <c r="AA82">
        <v>3.1963494811397299</v>
      </c>
      <c r="AB82">
        <f t="shared" si="32"/>
        <v>10.984636327890282</v>
      </c>
      <c r="AC82">
        <f t="shared" si="33"/>
        <v>85.127308762977819</v>
      </c>
      <c r="AD82">
        <v>281140.07490429003</v>
      </c>
      <c r="AE82">
        <v>2.89947509765625</v>
      </c>
      <c r="AF82">
        <f t="shared" si="34"/>
        <v>4.8231913378349915</v>
      </c>
      <c r="AG82">
        <f t="shared" si="35"/>
        <v>37.378142159910425</v>
      </c>
      <c r="AH82">
        <v>317145.66063338501</v>
      </c>
      <c r="AI82">
        <v>3.1982113616633399</v>
      </c>
      <c r="AJ82">
        <f t="shared" si="36"/>
        <v>10.987382909921532</v>
      </c>
      <c r="AK82">
        <f t="shared" si="37"/>
        <v>85.130473757237937</v>
      </c>
      <c r="AL82">
        <v>353149.11994248501</v>
      </c>
      <c r="AM82">
        <v>2.89825439453125</v>
      </c>
      <c r="AN82">
        <f t="shared" si="38"/>
        <v>4.8259379198662486</v>
      </c>
      <c r="AO82">
        <f t="shared" si="39"/>
        <v>37.39146845153202</v>
      </c>
    </row>
    <row r="83" spans="1:41" x14ac:dyDescent="0.15">
      <c r="A83" s="1">
        <v>81</v>
      </c>
      <c r="B83">
        <v>29473.993665312599</v>
      </c>
      <c r="C83">
        <v>3.1916115500710198</v>
      </c>
      <c r="D83">
        <f t="shared" si="20"/>
        <v>11.23121247046563</v>
      </c>
      <c r="E83">
        <f t="shared" si="21"/>
        <v>86.067258711768119</v>
      </c>
      <c r="F83">
        <v>65477.689064411999</v>
      </c>
      <c r="G83">
        <v>2.9071044921875</v>
      </c>
      <c r="H83">
        <f t="shared" si="22"/>
        <v>4.8677528905722127</v>
      </c>
      <c r="I83">
        <f t="shared" si="23"/>
        <v>37.302664202956393</v>
      </c>
      <c r="J83">
        <v>101482.72279650799</v>
      </c>
      <c r="K83">
        <v>3.19427490234375</v>
      </c>
      <c r="L83">
        <f t="shared" si="24"/>
        <v>11.079540107184359</v>
      </c>
      <c r="M83">
        <f t="shared" si="25"/>
        <v>85.903414268064253</v>
      </c>
      <c r="N83">
        <v>137486.104103608</v>
      </c>
      <c r="O83">
        <v>2.90130615234375</v>
      </c>
      <c r="P83">
        <f t="shared" si="26"/>
        <v>4.7160805272910267</v>
      </c>
      <c r="Q83">
        <f t="shared" si="27"/>
        <v>36.565364206293481</v>
      </c>
      <c r="R83">
        <v>173491.483822704</v>
      </c>
      <c r="S83">
        <v>3.1961891867896299</v>
      </c>
      <c r="T83">
        <f t="shared" si="28"/>
        <v>11.082591864996948</v>
      </c>
      <c r="U83">
        <f t="shared" si="29"/>
        <v>85.906748915671486</v>
      </c>
      <c r="V83">
        <v>209494.87513080399</v>
      </c>
      <c r="W83">
        <v>2.8961181640625</v>
      </c>
      <c r="X83">
        <f t="shared" si="30"/>
        <v>4.7191322851033419</v>
      </c>
      <c r="Y83">
        <f t="shared" si="31"/>
        <v>36.580370120516342</v>
      </c>
      <c r="Z83">
        <v>245500.273856899</v>
      </c>
      <c r="AA83">
        <v>3.19771506569611</v>
      </c>
      <c r="AB83">
        <f t="shared" si="32"/>
        <v>11.085643622809448</v>
      </c>
      <c r="AC83">
        <f t="shared" si="33"/>
        <v>85.910081985980682</v>
      </c>
      <c r="AD83">
        <v>281503.70116599899</v>
      </c>
      <c r="AE83">
        <v>2.89703369140625</v>
      </c>
      <c r="AF83">
        <f t="shared" si="34"/>
        <v>4.722184042915833</v>
      </c>
      <c r="AG83">
        <f t="shared" si="35"/>
        <v>36.595368936907619</v>
      </c>
      <c r="AH83">
        <v>317509.28689509397</v>
      </c>
      <c r="AI83">
        <v>3.1999067826707499</v>
      </c>
      <c r="AJ83">
        <f t="shared" si="36"/>
        <v>11.088390204840689</v>
      </c>
      <c r="AK83">
        <f t="shared" si="37"/>
        <v>85.913080401595451</v>
      </c>
      <c r="AL83">
        <v>353512.74620419397</v>
      </c>
      <c r="AM83">
        <v>2.89581298828125</v>
      </c>
      <c r="AN83">
        <f t="shared" si="38"/>
        <v>4.7249306249470919</v>
      </c>
      <c r="AO83">
        <f t="shared" si="39"/>
        <v>36.608861807174506</v>
      </c>
    </row>
    <row r="84" spans="1:41" x14ac:dyDescent="0.15">
      <c r="A84" s="1">
        <v>82</v>
      </c>
      <c r="B84">
        <v>29837.619927020802</v>
      </c>
      <c r="C84">
        <v>3.1931805851484101</v>
      </c>
      <c r="D84">
        <f t="shared" si="20"/>
        <v>11.332219765384574</v>
      </c>
      <c r="E84">
        <f t="shared" si="21"/>
        <v>86.841299894447673</v>
      </c>
      <c r="F84">
        <v>65841.315326120195</v>
      </c>
      <c r="G84">
        <v>2.9051655470722899</v>
      </c>
      <c r="H84">
        <f t="shared" si="22"/>
        <v>4.7667455956532709</v>
      </c>
      <c r="I84">
        <f t="shared" si="23"/>
        <v>36.528623020276854</v>
      </c>
      <c r="J84">
        <v>101846.34905821701</v>
      </c>
      <c r="K84">
        <v>3.19580078125</v>
      </c>
      <c r="L84">
        <f t="shared" si="24"/>
        <v>11.180547402103528</v>
      </c>
      <c r="M84">
        <f t="shared" si="25"/>
        <v>86.686557919840169</v>
      </c>
      <c r="N84">
        <v>137849.73036531699</v>
      </c>
      <c r="O84">
        <v>2.89886474609375</v>
      </c>
      <c r="P84">
        <f t="shared" si="26"/>
        <v>4.6150732323718611</v>
      </c>
      <c r="Q84">
        <f t="shared" si="27"/>
        <v>35.782220554517608</v>
      </c>
      <c r="R84">
        <v>173855.11008441201</v>
      </c>
      <c r="S84">
        <v>3.1984394728534502</v>
      </c>
      <c r="T84">
        <f t="shared" si="28"/>
        <v>11.183599159915838</v>
      </c>
      <c r="U84">
        <f t="shared" si="29"/>
        <v>86.689707309244952</v>
      </c>
      <c r="V84">
        <v>209858.501392512</v>
      </c>
      <c r="W84">
        <v>2.8936767578125</v>
      </c>
      <c r="X84">
        <f t="shared" si="30"/>
        <v>4.6181249901844517</v>
      </c>
      <c r="Y84">
        <f t="shared" si="31"/>
        <v>35.797411726942883</v>
      </c>
      <c r="Z84">
        <v>245863.90011860701</v>
      </c>
      <c r="AA84">
        <v>3.1993550001973099</v>
      </c>
      <c r="AB84">
        <f t="shared" si="32"/>
        <v>11.186650917728338</v>
      </c>
      <c r="AC84">
        <f t="shared" si="33"/>
        <v>86.692855208981399</v>
      </c>
      <c r="AD84">
        <v>281867.32742770697</v>
      </c>
      <c r="AE84">
        <v>2.894287109375</v>
      </c>
      <c r="AF84">
        <f t="shared" si="34"/>
        <v>4.6211767479969517</v>
      </c>
      <c r="AG84">
        <f t="shared" si="35"/>
        <v>35.812595713906965</v>
      </c>
      <c r="AH84">
        <v>317872.91315680201</v>
      </c>
      <c r="AI84">
        <v>3.2015097261680801</v>
      </c>
      <c r="AJ84">
        <f t="shared" si="36"/>
        <v>11.189397499759588</v>
      </c>
      <c r="AK84">
        <f t="shared" si="37"/>
        <v>86.695687045950976</v>
      </c>
      <c r="AL84">
        <v>353876.37246590201</v>
      </c>
      <c r="AM84">
        <v>2.89306640625</v>
      </c>
      <c r="AN84">
        <f t="shared" si="38"/>
        <v>4.6239233300281928</v>
      </c>
      <c r="AO84">
        <f t="shared" si="39"/>
        <v>35.826255162818974</v>
      </c>
    </row>
    <row r="85" spans="1:41" x14ac:dyDescent="0.15">
      <c r="A85" s="1">
        <v>83</v>
      </c>
      <c r="B85">
        <v>30201.246188729001</v>
      </c>
      <c r="C85">
        <v>3.194580078125</v>
      </c>
      <c r="D85">
        <f t="shared" si="20"/>
        <v>11.433227060303519</v>
      </c>
      <c r="E85">
        <f t="shared" si="21"/>
        <v>87.615341077127241</v>
      </c>
      <c r="F85">
        <v>66204.941587828405</v>
      </c>
      <c r="G85">
        <v>2.90283203125</v>
      </c>
      <c r="H85">
        <f t="shared" si="22"/>
        <v>4.6657383007343221</v>
      </c>
      <c r="I85">
        <f t="shared" si="23"/>
        <v>35.754581837597257</v>
      </c>
      <c r="J85">
        <v>102209.975319925</v>
      </c>
      <c r="K85">
        <v>3.1970276495422998</v>
      </c>
      <c r="L85">
        <f t="shared" si="24"/>
        <v>11.281554697022415</v>
      </c>
      <c r="M85">
        <f t="shared" si="25"/>
        <v>87.469701571613882</v>
      </c>
      <c r="N85">
        <v>138213.356627025</v>
      </c>
      <c r="O85">
        <v>2.89642333984375</v>
      </c>
      <c r="P85">
        <f t="shared" si="26"/>
        <v>4.514065937452969</v>
      </c>
      <c r="Q85">
        <f t="shared" si="27"/>
        <v>34.999076902743852</v>
      </c>
      <c r="R85">
        <v>174218.73634611999</v>
      </c>
      <c r="S85">
        <v>3.19916388001102</v>
      </c>
      <c r="T85">
        <f t="shared" si="28"/>
        <v>11.284606454834721</v>
      </c>
      <c r="U85">
        <f t="shared" si="29"/>
        <v>87.472665702818347</v>
      </c>
      <c r="V85">
        <v>210222.12765422001</v>
      </c>
      <c r="W85">
        <v>2.89093017578125</v>
      </c>
      <c r="X85">
        <f t="shared" si="30"/>
        <v>4.5171176952655596</v>
      </c>
      <c r="Y85">
        <f t="shared" si="31"/>
        <v>35.01445333336941</v>
      </c>
      <c r="Z85">
        <v>246227.52638031499</v>
      </c>
      <c r="AA85">
        <v>3.2007020892518301</v>
      </c>
      <c r="AB85">
        <f t="shared" si="32"/>
        <v>11.287658212647221</v>
      </c>
      <c r="AC85">
        <f t="shared" si="33"/>
        <v>87.475628431982074</v>
      </c>
      <c r="AD85">
        <v>282230.95368941501</v>
      </c>
      <c r="AE85">
        <v>2.89154052734375</v>
      </c>
      <c r="AF85">
        <f t="shared" si="34"/>
        <v>4.5201694530780525</v>
      </c>
      <c r="AG85">
        <f t="shared" si="35"/>
        <v>35.029822490906163</v>
      </c>
      <c r="AH85">
        <v>318236.53941850999</v>
      </c>
      <c r="AI85">
        <v>3.20343017578125</v>
      </c>
      <c r="AJ85">
        <f t="shared" si="36"/>
        <v>11.290404794678471</v>
      </c>
      <c r="AK85">
        <f t="shared" si="37"/>
        <v>87.478293690306373</v>
      </c>
      <c r="AL85">
        <v>354239.99872760999</v>
      </c>
      <c r="AM85">
        <v>2.89031982421875</v>
      </c>
      <c r="AN85">
        <f t="shared" si="38"/>
        <v>4.5229160351093096</v>
      </c>
      <c r="AO85">
        <f t="shared" si="39"/>
        <v>35.043648518463577</v>
      </c>
    </row>
    <row r="86" spans="1:41" x14ac:dyDescent="0.15">
      <c r="A86" s="1">
        <v>84</v>
      </c>
      <c r="B86">
        <v>30564.8724504372</v>
      </c>
      <c r="C86">
        <v>3.1952459161931501</v>
      </c>
      <c r="D86">
        <f t="shared" si="20"/>
        <v>11.534234355222463</v>
      </c>
      <c r="E86">
        <f t="shared" si="21"/>
        <v>88.389382259806794</v>
      </c>
      <c r="F86">
        <v>66568.567849536601</v>
      </c>
      <c r="G86">
        <v>2.900390625</v>
      </c>
      <c r="H86">
        <f t="shared" si="22"/>
        <v>4.5647310058153803</v>
      </c>
      <c r="I86">
        <f t="shared" si="23"/>
        <v>34.980540654917718</v>
      </c>
      <c r="J86">
        <v>102573.601581633</v>
      </c>
      <c r="K86">
        <v>3.1984271425189901</v>
      </c>
      <c r="L86">
        <f t="shared" si="24"/>
        <v>11.382561991941305</v>
      </c>
      <c r="M86">
        <f t="shared" si="25"/>
        <v>88.252845223387624</v>
      </c>
      <c r="N86">
        <v>138576.98288873301</v>
      </c>
      <c r="O86">
        <v>2.89398193359375</v>
      </c>
      <c r="P86">
        <f t="shared" si="26"/>
        <v>4.4130586425340788</v>
      </c>
      <c r="Q86">
        <f t="shared" si="27"/>
        <v>34.215933250970117</v>
      </c>
      <c r="R86">
        <v>174582.36260782799</v>
      </c>
      <c r="S86">
        <v>3.2007483280067901</v>
      </c>
      <c r="T86">
        <f t="shared" si="28"/>
        <v>11.385613749753611</v>
      </c>
      <c r="U86">
        <f t="shared" si="29"/>
        <v>88.255624096391799</v>
      </c>
      <c r="V86">
        <v>210585.75391592801</v>
      </c>
      <c r="W86">
        <v>2.88818359375</v>
      </c>
      <c r="X86">
        <f t="shared" si="30"/>
        <v>4.4161104003466694</v>
      </c>
      <c r="Y86">
        <f t="shared" si="31"/>
        <v>34.231494939795951</v>
      </c>
      <c r="Z86">
        <v>246591.15264202299</v>
      </c>
      <c r="AA86">
        <v>3.20281982421875</v>
      </c>
      <c r="AB86">
        <f t="shared" si="32"/>
        <v>11.388665507566111</v>
      </c>
      <c r="AC86">
        <f t="shared" si="33"/>
        <v>88.258401654982805</v>
      </c>
      <c r="AD86">
        <v>282594.57995112299</v>
      </c>
      <c r="AE86">
        <v>2.8887939453125</v>
      </c>
      <c r="AF86">
        <f t="shared" si="34"/>
        <v>4.4191621581591694</v>
      </c>
      <c r="AG86">
        <f t="shared" si="35"/>
        <v>34.247049267905503</v>
      </c>
      <c r="AH86">
        <v>318600.16568021802</v>
      </c>
      <c r="AI86">
        <v>3.20507627544972</v>
      </c>
      <c r="AJ86">
        <f t="shared" si="36"/>
        <v>11.391412089597369</v>
      </c>
      <c r="AK86">
        <f t="shared" si="37"/>
        <v>88.260900334661898</v>
      </c>
      <c r="AL86">
        <v>354603.62498931802</v>
      </c>
      <c r="AM86">
        <v>2.88726806640625</v>
      </c>
      <c r="AN86">
        <f t="shared" si="38"/>
        <v>4.4219087401904122</v>
      </c>
      <c r="AO86">
        <f t="shared" si="39"/>
        <v>34.261041874108066</v>
      </c>
    </row>
    <row r="87" spans="1:41" x14ac:dyDescent="0.15">
      <c r="A87" s="1">
        <v>85</v>
      </c>
      <c r="B87">
        <v>30928.4987121454</v>
      </c>
      <c r="C87">
        <v>3.19685810744163</v>
      </c>
      <c r="D87">
        <f t="shared" si="20"/>
        <v>11.635241650141408</v>
      </c>
      <c r="E87">
        <f t="shared" si="21"/>
        <v>89.163423442486362</v>
      </c>
      <c r="F87">
        <v>66932.194111244797</v>
      </c>
      <c r="G87">
        <v>2.89764404296875</v>
      </c>
      <c r="H87">
        <f t="shared" si="22"/>
        <v>4.4637237108964367</v>
      </c>
      <c r="I87">
        <f t="shared" si="23"/>
        <v>34.206499472238164</v>
      </c>
      <c r="J87">
        <v>102937.227843341</v>
      </c>
      <c r="K87">
        <v>3.2001441416115299</v>
      </c>
      <c r="L87">
        <f t="shared" si="24"/>
        <v>11.483569286860192</v>
      </c>
      <c r="M87">
        <f t="shared" si="25"/>
        <v>89.035988875161337</v>
      </c>
      <c r="N87">
        <v>138940.60915044101</v>
      </c>
      <c r="O87">
        <v>2.8912353515625</v>
      </c>
      <c r="P87">
        <f t="shared" si="26"/>
        <v>4.3120513476151885</v>
      </c>
      <c r="Q87">
        <f t="shared" si="27"/>
        <v>33.432789599196376</v>
      </c>
      <c r="R87">
        <v>174945.988869536</v>
      </c>
      <c r="S87">
        <v>3.2019751962990699</v>
      </c>
      <c r="T87">
        <f t="shared" si="28"/>
        <v>11.486621044672502</v>
      </c>
      <c r="U87">
        <f t="shared" si="29"/>
        <v>89.038582489965265</v>
      </c>
      <c r="V87">
        <v>210949.38017763599</v>
      </c>
      <c r="W87">
        <v>2.8853661122949199</v>
      </c>
      <c r="X87">
        <f t="shared" si="30"/>
        <v>4.315103105427788</v>
      </c>
      <c r="Y87">
        <f t="shared" si="31"/>
        <v>33.448536546222563</v>
      </c>
      <c r="Z87">
        <v>246954.778903731</v>
      </c>
      <c r="AA87">
        <v>3.20418232619142</v>
      </c>
      <c r="AB87">
        <f t="shared" si="32"/>
        <v>11.489672802485002</v>
      </c>
      <c r="AC87">
        <f t="shared" si="33"/>
        <v>89.041174877983522</v>
      </c>
      <c r="AD87">
        <v>282958.20621283102</v>
      </c>
      <c r="AE87">
        <v>2.8857421875</v>
      </c>
      <c r="AF87">
        <f t="shared" si="34"/>
        <v>4.3181548632402702</v>
      </c>
      <c r="AG87">
        <f t="shared" si="35"/>
        <v>33.4642760449047</v>
      </c>
      <c r="AH87">
        <v>318963.791941926</v>
      </c>
      <c r="AI87">
        <v>3.206787109375</v>
      </c>
      <c r="AJ87">
        <f t="shared" si="36"/>
        <v>11.492419384516252</v>
      </c>
      <c r="AK87">
        <f t="shared" si="37"/>
        <v>89.043506979017295</v>
      </c>
      <c r="AL87">
        <v>354967.251251026</v>
      </c>
      <c r="AM87">
        <v>2.88421630859375</v>
      </c>
      <c r="AN87">
        <f t="shared" si="38"/>
        <v>4.3209014452715291</v>
      </c>
      <c r="AO87">
        <f t="shared" si="39"/>
        <v>33.478435229752662</v>
      </c>
    </row>
    <row r="88" spans="1:41" x14ac:dyDescent="0.15">
      <c r="A88" s="1">
        <v>86</v>
      </c>
      <c r="B88">
        <v>31292.124973853599</v>
      </c>
      <c r="C88">
        <v>3.1985042071101701</v>
      </c>
      <c r="D88">
        <f t="shared" si="20"/>
        <v>11.736248945060352</v>
      </c>
      <c r="E88">
        <f t="shared" si="21"/>
        <v>89.937464625165916</v>
      </c>
      <c r="F88">
        <v>67295.820372953007</v>
      </c>
      <c r="G88">
        <v>2.8948974609375</v>
      </c>
      <c r="H88">
        <f t="shared" si="22"/>
        <v>4.3627164159774896</v>
      </c>
      <c r="I88">
        <f t="shared" si="23"/>
        <v>33.432458289558582</v>
      </c>
      <c r="J88">
        <v>103300.854105049</v>
      </c>
      <c r="K88">
        <v>3.2005078864816401</v>
      </c>
      <c r="L88">
        <f t="shared" si="24"/>
        <v>11.584576581779082</v>
      </c>
      <c r="M88">
        <f t="shared" si="25"/>
        <v>89.819132526935078</v>
      </c>
      <c r="N88">
        <v>139304.23541214899</v>
      </c>
      <c r="O88">
        <v>2.88818359375</v>
      </c>
      <c r="P88">
        <f t="shared" si="26"/>
        <v>4.2110440526963053</v>
      </c>
      <c r="Q88">
        <f t="shared" si="27"/>
        <v>32.649645947422691</v>
      </c>
      <c r="R88">
        <v>175309.61513124499</v>
      </c>
      <c r="S88">
        <v>3.2036921953915698</v>
      </c>
      <c r="T88">
        <f t="shared" si="28"/>
        <v>11.587628339591667</v>
      </c>
      <c r="U88">
        <f t="shared" si="29"/>
        <v>89.821540883540862</v>
      </c>
      <c r="V88">
        <v>211313.00643934499</v>
      </c>
      <c r="W88">
        <v>2.88238525390625</v>
      </c>
      <c r="X88">
        <f t="shared" si="30"/>
        <v>4.2140958105086224</v>
      </c>
      <c r="Y88">
        <f t="shared" si="31"/>
        <v>32.665578152646972</v>
      </c>
      <c r="Z88">
        <v>247318.40516544</v>
      </c>
      <c r="AA88">
        <v>3.2057852696888598</v>
      </c>
      <c r="AB88">
        <f t="shared" si="32"/>
        <v>11.590680097404167</v>
      </c>
      <c r="AC88">
        <f t="shared" si="33"/>
        <v>89.823948100986385</v>
      </c>
      <c r="AD88">
        <v>283321.83247453999</v>
      </c>
      <c r="AE88">
        <v>2.8826904296875</v>
      </c>
      <c r="AF88">
        <f t="shared" si="34"/>
        <v>4.2171475683211135</v>
      </c>
      <c r="AG88">
        <f t="shared" si="35"/>
        <v>32.681502821901915</v>
      </c>
      <c r="AH88">
        <v>319327.41820363502</v>
      </c>
      <c r="AI88">
        <v>3.2086181640625</v>
      </c>
      <c r="AJ88">
        <f t="shared" si="36"/>
        <v>11.593426679435426</v>
      </c>
      <c r="AK88">
        <f t="shared" si="37"/>
        <v>89.826113623374951</v>
      </c>
      <c r="AL88">
        <v>355330.87751273502</v>
      </c>
      <c r="AM88">
        <v>2.88116455078125</v>
      </c>
      <c r="AN88">
        <f t="shared" si="38"/>
        <v>4.2198941503523546</v>
      </c>
      <c r="AO88">
        <f t="shared" si="39"/>
        <v>32.695828585395006</v>
      </c>
    </row>
    <row r="89" spans="1:41" x14ac:dyDescent="0.15">
      <c r="A89" s="1">
        <v>87</v>
      </c>
      <c r="B89">
        <v>31655.751235561798</v>
      </c>
      <c r="C89">
        <v>3.2002304539535902</v>
      </c>
      <c r="D89">
        <f t="shared" si="20"/>
        <v>11.837256239979295</v>
      </c>
      <c r="E89">
        <f t="shared" si="21"/>
        <v>90.711505807845469</v>
      </c>
      <c r="F89">
        <v>67659.446634661203</v>
      </c>
      <c r="G89">
        <v>2.891845703125</v>
      </c>
      <c r="H89">
        <f t="shared" si="22"/>
        <v>4.261709121058546</v>
      </c>
      <c r="I89">
        <f t="shared" si="23"/>
        <v>32.658417106879028</v>
      </c>
      <c r="J89">
        <v>103664.480366758</v>
      </c>
      <c r="K89">
        <v>3.20281982421875</v>
      </c>
      <c r="L89">
        <f t="shared" si="24"/>
        <v>11.685583876698248</v>
      </c>
      <c r="M89">
        <f t="shared" si="25"/>
        <v>90.602276178710952</v>
      </c>
      <c r="N89">
        <v>139667.86167385799</v>
      </c>
      <c r="O89">
        <v>2.8851318359375</v>
      </c>
      <c r="P89">
        <f t="shared" si="26"/>
        <v>4.1100367577771397</v>
      </c>
      <c r="Q89">
        <f t="shared" si="27"/>
        <v>31.866502295646814</v>
      </c>
      <c r="R89">
        <v>175673.241392953</v>
      </c>
      <c r="S89">
        <v>3.2049560546875</v>
      </c>
      <c r="T89">
        <f t="shared" si="28"/>
        <v>11.688635634510558</v>
      </c>
      <c r="U89">
        <f t="shared" si="29"/>
        <v>90.604499277114314</v>
      </c>
      <c r="V89">
        <v>211676.63270105299</v>
      </c>
      <c r="W89">
        <v>2.8790283203125</v>
      </c>
      <c r="X89">
        <f t="shared" si="30"/>
        <v>4.1130885155897303</v>
      </c>
      <c r="Y89">
        <f t="shared" si="31"/>
        <v>31.882619759073499</v>
      </c>
      <c r="Z89">
        <v>247682.031427148</v>
      </c>
      <c r="AA89">
        <v>3.2073974609375</v>
      </c>
      <c r="AB89">
        <f t="shared" si="32"/>
        <v>11.691687392323058</v>
      </c>
      <c r="AC89">
        <f t="shared" si="33"/>
        <v>90.606721323987102</v>
      </c>
      <c r="AD89">
        <v>283685.45873624802</v>
      </c>
      <c r="AE89">
        <v>2.879638671875</v>
      </c>
      <c r="AF89">
        <f t="shared" si="34"/>
        <v>4.1161402734022143</v>
      </c>
      <c r="AG89">
        <f t="shared" si="35"/>
        <v>31.898729598901117</v>
      </c>
      <c r="AH89">
        <v>319691.044465343</v>
      </c>
      <c r="AI89">
        <v>3.2112167820785</v>
      </c>
      <c r="AJ89">
        <f t="shared" si="36"/>
        <v>11.694433974354308</v>
      </c>
      <c r="AK89">
        <f t="shared" si="37"/>
        <v>90.608720267730334</v>
      </c>
      <c r="AL89">
        <v>355694.503774443</v>
      </c>
      <c r="AM89">
        <v>2.8778076171875</v>
      </c>
      <c r="AN89">
        <f t="shared" si="38"/>
        <v>4.1188868554334732</v>
      </c>
      <c r="AO89">
        <f t="shared" si="39"/>
        <v>31.913221941039616</v>
      </c>
    </row>
    <row r="90" spans="1:41" x14ac:dyDescent="0.15">
      <c r="A90" s="1">
        <v>88</v>
      </c>
      <c r="B90">
        <v>32019.377497270001</v>
      </c>
      <c r="C90">
        <v>3.2012939453125</v>
      </c>
      <c r="D90">
        <f t="shared" si="20"/>
        <v>11.93826353489824</v>
      </c>
      <c r="E90">
        <f t="shared" si="21"/>
        <v>91.485546990525037</v>
      </c>
      <c r="F90">
        <v>68023.072896369398</v>
      </c>
      <c r="G90">
        <v>2.88848876953125</v>
      </c>
      <c r="H90">
        <f t="shared" si="22"/>
        <v>4.1607018261396025</v>
      </c>
      <c r="I90">
        <f t="shared" si="23"/>
        <v>31.884375924199471</v>
      </c>
      <c r="J90">
        <v>104028.106628466</v>
      </c>
      <c r="K90">
        <v>3.2037692599826499</v>
      </c>
      <c r="L90">
        <f t="shared" si="24"/>
        <v>11.786591171617138</v>
      </c>
      <c r="M90">
        <f t="shared" si="25"/>
        <v>91.385419830484679</v>
      </c>
      <c r="N90">
        <v>140031.48793556599</v>
      </c>
      <c r="O90">
        <v>2.88177490234375</v>
      </c>
      <c r="P90">
        <f t="shared" si="26"/>
        <v>4.0090294628582495</v>
      </c>
      <c r="Q90">
        <f t="shared" si="27"/>
        <v>31.083358643873076</v>
      </c>
      <c r="R90">
        <v>176036.86765466101</v>
      </c>
      <c r="S90">
        <v>3.20648193359375</v>
      </c>
      <c r="T90">
        <f t="shared" si="28"/>
        <v>11.789642929429448</v>
      </c>
      <c r="U90">
        <f t="shared" si="29"/>
        <v>91.38745767068778</v>
      </c>
      <c r="V90">
        <v>212040.258962761</v>
      </c>
      <c r="W90">
        <v>2.87567138671875</v>
      </c>
      <c r="X90">
        <f t="shared" si="30"/>
        <v>4.0120812206708401</v>
      </c>
      <c r="Y90">
        <f t="shared" si="31"/>
        <v>31.09966136550004</v>
      </c>
      <c r="Z90">
        <v>248045.65768885601</v>
      </c>
      <c r="AA90">
        <v>3.209228515625</v>
      </c>
      <c r="AB90">
        <f t="shared" si="32"/>
        <v>11.792694687241948</v>
      </c>
      <c r="AC90">
        <f t="shared" si="33"/>
        <v>91.389494546987834</v>
      </c>
      <c r="AD90">
        <v>284049.084997956</v>
      </c>
      <c r="AE90">
        <v>2.8759765625</v>
      </c>
      <c r="AF90">
        <f t="shared" si="34"/>
        <v>4.0151329784833329</v>
      </c>
      <c r="AG90">
        <f t="shared" si="35"/>
        <v>31.11595637590046</v>
      </c>
      <c r="AH90">
        <v>320054.67072705098</v>
      </c>
      <c r="AI90">
        <v>3.2120429144965899</v>
      </c>
      <c r="AJ90">
        <f t="shared" si="36"/>
        <v>11.795441269273191</v>
      </c>
      <c r="AK90">
        <f t="shared" si="37"/>
        <v>91.391326912085731</v>
      </c>
      <c r="AL90">
        <v>356058.13003615098</v>
      </c>
      <c r="AM90">
        <v>2.8744167751735898</v>
      </c>
      <c r="AN90">
        <f t="shared" si="38"/>
        <v>4.0178795605145901</v>
      </c>
      <c r="AO90">
        <f t="shared" si="39"/>
        <v>31.130615296684216</v>
      </c>
    </row>
    <row r="91" spans="1:41" x14ac:dyDescent="0.15">
      <c r="A91" s="1">
        <v>89</v>
      </c>
      <c r="B91">
        <v>32383.0037589782</v>
      </c>
      <c r="C91">
        <v>3.2027550899620998</v>
      </c>
      <c r="D91">
        <f t="shared" si="20"/>
        <v>12.039270829817186</v>
      </c>
      <c r="E91">
        <f t="shared" si="21"/>
        <v>92.259588173204605</v>
      </c>
      <c r="F91">
        <v>68386.699158077594</v>
      </c>
      <c r="G91">
        <v>2.88482666015625</v>
      </c>
      <c r="H91">
        <f t="shared" si="22"/>
        <v>4.0596945312206589</v>
      </c>
      <c r="I91">
        <f t="shared" si="23"/>
        <v>31.110334741519917</v>
      </c>
      <c r="J91">
        <v>104391.732890174</v>
      </c>
      <c r="K91">
        <v>3.20587158203125</v>
      </c>
      <c r="L91">
        <f t="shared" si="24"/>
        <v>11.887598466536025</v>
      </c>
      <c r="M91">
        <f t="shared" si="25"/>
        <v>92.168563482258406</v>
      </c>
      <c r="N91">
        <v>140395.114197274</v>
      </c>
      <c r="O91">
        <v>2.87811279296875</v>
      </c>
      <c r="P91">
        <f t="shared" si="26"/>
        <v>3.9080221679393592</v>
      </c>
      <c r="Q91">
        <f t="shared" si="27"/>
        <v>30.300214992099335</v>
      </c>
      <c r="R91">
        <v>176400.49391636901</v>
      </c>
      <c r="S91">
        <v>3.2081526939316101</v>
      </c>
      <c r="T91">
        <f t="shared" si="28"/>
        <v>11.89065022434834</v>
      </c>
      <c r="U91">
        <f t="shared" si="29"/>
        <v>92.170416064261246</v>
      </c>
      <c r="V91">
        <v>212403.88522446901</v>
      </c>
      <c r="W91">
        <v>2.87200927734375</v>
      </c>
      <c r="X91">
        <f t="shared" si="30"/>
        <v>3.9110739257519498</v>
      </c>
      <c r="Y91">
        <f t="shared" si="31"/>
        <v>30.316702971926585</v>
      </c>
      <c r="Z91">
        <v>248409.28395056399</v>
      </c>
      <c r="AA91">
        <v>3.2106742473563501</v>
      </c>
      <c r="AB91">
        <f t="shared" si="32"/>
        <v>11.893701982160831</v>
      </c>
      <c r="AC91">
        <f t="shared" si="33"/>
        <v>92.172267769988508</v>
      </c>
      <c r="AD91">
        <v>284412.71125966398</v>
      </c>
      <c r="AE91">
        <v>2.87261962890625</v>
      </c>
      <c r="AF91">
        <f t="shared" si="34"/>
        <v>3.9141256835644498</v>
      </c>
      <c r="AG91">
        <f t="shared" si="35"/>
        <v>30.333183152899789</v>
      </c>
      <c r="AH91">
        <v>320418.29698875902</v>
      </c>
      <c r="AI91">
        <v>3.21480182686232</v>
      </c>
      <c r="AJ91">
        <f t="shared" si="36"/>
        <v>11.89644856419209</v>
      </c>
      <c r="AK91">
        <f t="shared" si="37"/>
        <v>92.17393355644127</v>
      </c>
      <c r="AL91">
        <v>356421.75629785901</v>
      </c>
      <c r="AM91">
        <v>2.87078857421875</v>
      </c>
      <c r="AN91">
        <f t="shared" si="38"/>
        <v>3.9168722655956909</v>
      </c>
      <c r="AO91">
        <f t="shared" si="39"/>
        <v>30.348008652328691</v>
      </c>
    </row>
    <row r="92" spans="1:41" x14ac:dyDescent="0.15">
      <c r="A92" s="1">
        <v>90</v>
      </c>
      <c r="B92">
        <v>32746.6300206864</v>
      </c>
      <c r="C92">
        <v>3.20465087890625</v>
      </c>
      <c r="D92">
        <f t="shared" si="20"/>
        <v>12.140278124736129</v>
      </c>
      <c r="E92">
        <f t="shared" si="21"/>
        <v>93.033629355884159</v>
      </c>
      <c r="F92">
        <v>68750.325419785804</v>
      </c>
      <c r="G92">
        <v>2.88074840198863</v>
      </c>
      <c r="H92">
        <f t="shared" si="22"/>
        <v>3.9586872363017118</v>
      </c>
      <c r="I92">
        <f t="shared" si="23"/>
        <v>30.336293558840339</v>
      </c>
      <c r="J92">
        <v>104755.359151882</v>
      </c>
      <c r="K92">
        <v>3.206787109375</v>
      </c>
      <c r="L92">
        <f t="shared" si="24"/>
        <v>11.988605761454917</v>
      </c>
      <c r="M92">
        <f t="shared" si="25"/>
        <v>92.951707134032162</v>
      </c>
      <c r="N92">
        <v>140758.74045898201</v>
      </c>
      <c r="O92">
        <v>2.8741455078125</v>
      </c>
      <c r="P92">
        <f t="shared" si="26"/>
        <v>3.8070148730204689</v>
      </c>
      <c r="Q92">
        <f t="shared" si="27"/>
        <v>29.517071340325597</v>
      </c>
      <c r="R92">
        <v>176764.12017807699</v>
      </c>
      <c r="S92">
        <v>3.209228515625</v>
      </c>
      <c r="T92">
        <f t="shared" si="28"/>
        <v>11.991657519267221</v>
      </c>
      <c r="U92">
        <f t="shared" si="29"/>
        <v>92.953374457834641</v>
      </c>
      <c r="V92">
        <v>212767.51148617701</v>
      </c>
      <c r="W92">
        <v>2.86834716796875</v>
      </c>
      <c r="X92">
        <f t="shared" si="30"/>
        <v>3.8100666308330595</v>
      </c>
      <c r="Y92">
        <f t="shared" si="31"/>
        <v>29.533744578353126</v>
      </c>
      <c r="Z92">
        <v>248772.91021227199</v>
      </c>
      <c r="AA92">
        <v>3.2125022194600601</v>
      </c>
      <c r="AB92">
        <f t="shared" si="32"/>
        <v>11.994709277079721</v>
      </c>
      <c r="AC92">
        <f t="shared" si="33"/>
        <v>92.955040992989225</v>
      </c>
      <c r="AD92">
        <v>284776.33752137201</v>
      </c>
      <c r="AE92">
        <v>2.86895751953125</v>
      </c>
      <c r="AF92">
        <f t="shared" si="34"/>
        <v>3.8131183886455506</v>
      </c>
      <c r="AG92">
        <f t="shared" si="35"/>
        <v>29.550409929898997</v>
      </c>
      <c r="AH92">
        <v>320781.92325046699</v>
      </c>
      <c r="AI92">
        <v>3.2166637073864801</v>
      </c>
      <c r="AJ92">
        <f t="shared" si="36"/>
        <v>11.997455859110971</v>
      </c>
      <c r="AK92">
        <f t="shared" si="37"/>
        <v>92.956540200796653</v>
      </c>
      <c r="AL92">
        <v>356785.38255956699</v>
      </c>
      <c r="AM92">
        <v>2.86712646484375</v>
      </c>
      <c r="AN92">
        <f t="shared" si="38"/>
        <v>3.8158649706768095</v>
      </c>
      <c r="AO92">
        <f t="shared" si="39"/>
        <v>29.565402007973301</v>
      </c>
    </row>
    <row r="93" spans="1:41" x14ac:dyDescent="0.15">
      <c r="A93" s="1">
        <v>91</v>
      </c>
      <c r="B93">
        <v>33110.256282394497</v>
      </c>
      <c r="C93">
        <v>3.20648193359375</v>
      </c>
      <c r="D93">
        <f t="shared" si="20"/>
        <v>12.241285419655046</v>
      </c>
      <c r="E93">
        <f t="shared" si="21"/>
        <v>93.807670538563514</v>
      </c>
      <c r="F93">
        <v>69113.951681493898</v>
      </c>
      <c r="G93">
        <v>2.8765869140625</v>
      </c>
      <c r="H93">
        <f t="shared" si="22"/>
        <v>3.8576799413827967</v>
      </c>
      <c r="I93">
        <f t="shared" si="23"/>
        <v>29.562252376160998</v>
      </c>
      <c r="J93">
        <v>105118.98541359</v>
      </c>
      <c r="K93">
        <v>3.20953060882275</v>
      </c>
      <c r="L93">
        <f t="shared" si="24"/>
        <v>12.089613056373803</v>
      </c>
      <c r="M93">
        <f t="shared" si="25"/>
        <v>93.734850785805861</v>
      </c>
      <c r="N93">
        <v>141122.36672069001</v>
      </c>
      <c r="O93">
        <v>2.87017822265625</v>
      </c>
      <c r="P93">
        <f t="shared" si="26"/>
        <v>3.7060075781015769</v>
      </c>
      <c r="Q93">
        <f t="shared" si="27"/>
        <v>28.733927688551841</v>
      </c>
      <c r="R93">
        <v>177127.746439785</v>
      </c>
      <c r="S93">
        <v>3.2116606741245399</v>
      </c>
      <c r="T93">
        <f t="shared" si="28"/>
        <v>12.092664814186113</v>
      </c>
      <c r="U93">
        <f t="shared" si="29"/>
        <v>93.736332851408108</v>
      </c>
      <c r="V93">
        <v>213131.13774788499</v>
      </c>
      <c r="W93">
        <v>2.86468505859375</v>
      </c>
      <c r="X93">
        <f t="shared" si="30"/>
        <v>3.7090593359141764</v>
      </c>
      <c r="Y93">
        <f t="shared" si="31"/>
        <v>28.75078618477972</v>
      </c>
      <c r="Z93">
        <v>249136.53647398</v>
      </c>
      <c r="AA93">
        <v>3.21441650390625</v>
      </c>
      <c r="AB93">
        <f t="shared" si="32"/>
        <v>12.095716571998613</v>
      </c>
      <c r="AC93">
        <f t="shared" si="33"/>
        <v>93.737814215989971</v>
      </c>
      <c r="AD93">
        <v>285139.96378307999</v>
      </c>
      <c r="AE93">
        <v>2.86529541015625</v>
      </c>
      <c r="AF93">
        <f t="shared" si="34"/>
        <v>3.7121110937266675</v>
      </c>
      <c r="AG93">
        <f t="shared" si="35"/>
        <v>28.767636706898326</v>
      </c>
      <c r="AH93">
        <v>321145.54951217602</v>
      </c>
      <c r="AI93">
        <v>3.2180878610316799</v>
      </c>
      <c r="AJ93">
        <f t="shared" si="36"/>
        <v>12.098463154030146</v>
      </c>
      <c r="AK93">
        <f t="shared" si="37"/>
        <v>93.739146845154309</v>
      </c>
      <c r="AL93">
        <v>357149.00882127503</v>
      </c>
      <c r="AM93">
        <v>2.8631591796875</v>
      </c>
      <c r="AN93">
        <f t="shared" si="38"/>
        <v>3.7148576757579104</v>
      </c>
      <c r="AO93">
        <f t="shared" si="39"/>
        <v>28.78279536361778</v>
      </c>
    </row>
    <row r="94" spans="1:41" x14ac:dyDescent="0.15">
      <c r="A94" s="1">
        <v>92</v>
      </c>
      <c r="B94">
        <v>33473.8825441027</v>
      </c>
      <c r="C94">
        <v>3.20880620166509</v>
      </c>
      <c r="D94">
        <f t="shared" si="20"/>
        <v>12.342292714573992</v>
      </c>
      <c r="E94">
        <f t="shared" si="21"/>
        <v>94.581711721243082</v>
      </c>
      <c r="F94">
        <v>69477.577943202094</v>
      </c>
      <c r="G94">
        <v>2.87200927734375</v>
      </c>
      <c r="H94">
        <f t="shared" si="22"/>
        <v>3.7566726464638531</v>
      </c>
      <c r="I94">
        <f t="shared" si="23"/>
        <v>28.788211193481445</v>
      </c>
      <c r="J94">
        <v>105482.61167529901</v>
      </c>
      <c r="K94">
        <v>3.2111304697366001</v>
      </c>
      <c r="L94">
        <f t="shared" si="24"/>
        <v>12.190620351292973</v>
      </c>
      <c r="M94">
        <f t="shared" si="25"/>
        <v>94.517994437581763</v>
      </c>
      <c r="N94">
        <v>141485.99298239901</v>
      </c>
      <c r="O94">
        <v>2.8662109375</v>
      </c>
      <c r="P94">
        <f t="shared" si="26"/>
        <v>3.6050002831824113</v>
      </c>
      <c r="Q94">
        <f t="shared" si="27"/>
        <v>27.950784036775968</v>
      </c>
      <c r="R94">
        <v>177491.37270149399</v>
      </c>
      <c r="S94">
        <v>3.2133591777142301</v>
      </c>
      <c r="T94">
        <f t="shared" si="28"/>
        <v>12.193672109105279</v>
      </c>
      <c r="U94">
        <f t="shared" si="29"/>
        <v>94.519291244983691</v>
      </c>
      <c r="V94">
        <v>213494.76400959399</v>
      </c>
      <c r="W94">
        <v>2.86041259765625</v>
      </c>
      <c r="X94">
        <f t="shared" si="30"/>
        <v>3.6080520409950108</v>
      </c>
      <c r="Y94">
        <f t="shared" si="31"/>
        <v>27.96782779120413</v>
      </c>
      <c r="Z94">
        <v>249500.16273568899</v>
      </c>
      <c r="AA94">
        <v>3.21685791015625</v>
      </c>
      <c r="AB94">
        <f t="shared" si="32"/>
        <v>12.196723866917779</v>
      </c>
      <c r="AC94">
        <f t="shared" si="33"/>
        <v>94.520587438992834</v>
      </c>
      <c r="AD94">
        <v>285503.59004478902</v>
      </c>
      <c r="AE94">
        <v>2.861328125</v>
      </c>
      <c r="AF94">
        <f t="shared" si="34"/>
        <v>3.6111037988074948</v>
      </c>
      <c r="AG94">
        <f t="shared" si="35"/>
        <v>27.98486348389541</v>
      </c>
      <c r="AH94">
        <v>321509.175773884</v>
      </c>
      <c r="AI94">
        <v>3.2212012705178701</v>
      </c>
      <c r="AJ94">
        <f t="shared" si="36"/>
        <v>12.199470448949029</v>
      </c>
      <c r="AK94">
        <f t="shared" si="37"/>
        <v>94.521753489509706</v>
      </c>
      <c r="AL94">
        <v>357512.63508298399</v>
      </c>
      <c r="AM94">
        <v>2.85919189453125</v>
      </c>
      <c r="AN94">
        <f t="shared" si="38"/>
        <v>3.6138503808387519</v>
      </c>
      <c r="AO94">
        <f t="shared" si="39"/>
        <v>28.000188719260244</v>
      </c>
    </row>
    <row r="95" spans="1:41" x14ac:dyDescent="0.15">
      <c r="A95" s="1">
        <v>93</v>
      </c>
      <c r="B95">
        <v>33837.508805810903</v>
      </c>
      <c r="C95">
        <v>3.2112167820785902</v>
      </c>
      <c r="D95">
        <f t="shared" si="20"/>
        <v>12.443300009492937</v>
      </c>
      <c r="E95">
        <f t="shared" si="21"/>
        <v>95.355752903922635</v>
      </c>
      <c r="F95">
        <v>69841.204204910304</v>
      </c>
      <c r="G95">
        <v>2.86712646484375</v>
      </c>
      <c r="H95">
        <f t="shared" si="22"/>
        <v>3.655665351544906</v>
      </c>
      <c r="I95">
        <f t="shared" si="23"/>
        <v>28.014170010801863</v>
      </c>
      <c r="J95">
        <v>105846.237937007</v>
      </c>
      <c r="K95">
        <v>3.2135009765625</v>
      </c>
      <c r="L95">
        <f t="shared" si="24"/>
        <v>12.291627646211859</v>
      </c>
      <c r="M95">
        <f t="shared" si="25"/>
        <v>95.301138089355476</v>
      </c>
      <c r="N95">
        <v>141849.61924410699</v>
      </c>
      <c r="O95">
        <v>2.86163330078125</v>
      </c>
      <c r="P95">
        <f t="shared" si="26"/>
        <v>3.5039929882635299</v>
      </c>
      <c r="Q95">
        <f t="shared" si="27"/>
        <v>27.167640385002294</v>
      </c>
      <c r="R95">
        <v>177854.998963202</v>
      </c>
      <c r="S95">
        <v>3.2154799952652402</v>
      </c>
      <c r="T95">
        <f t="shared" si="28"/>
        <v>12.294679404024169</v>
      </c>
      <c r="U95">
        <f t="shared" si="29"/>
        <v>95.302249638557157</v>
      </c>
      <c r="V95">
        <v>213858.39027130199</v>
      </c>
      <c r="W95">
        <v>2.8564453125</v>
      </c>
      <c r="X95">
        <f t="shared" si="30"/>
        <v>3.5070447460761205</v>
      </c>
      <c r="Y95">
        <f t="shared" si="31"/>
        <v>27.184869397630674</v>
      </c>
      <c r="Z95">
        <v>249863.788997397</v>
      </c>
      <c r="AA95">
        <v>3.21868896484375</v>
      </c>
      <c r="AB95">
        <f t="shared" si="32"/>
        <v>12.297731161836669</v>
      </c>
      <c r="AC95">
        <f t="shared" si="33"/>
        <v>95.303360661993551</v>
      </c>
      <c r="AD95">
        <v>285867.21630649699</v>
      </c>
      <c r="AE95">
        <v>2.8570556640625</v>
      </c>
      <c r="AF95">
        <f t="shared" si="34"/>
        <v>3.5100965038886116</v>
      </c>
      <c r="AG95">
        <f t="shared" si="35"/>
        <v>27.202090260894739</v>
      </c>
      <c r="AH95">
        <v>321872.80203559197</v>
      </c>
      <c r="AI95">
        <v>3.22357177734375</v>
      </c>
      <c r="AJ95">
        <f t="shared" si="36"/>
        <v>12.30047774386791</v>
      </c>
      <c r="AK95">
        <f t="shared" si="37"/>
        <v>95.304360133865089</v>
      </c>
      <c r="AL95">
        <v>357876.26134469197</v>
      </c>
      <c r="AM95">
        <v>2.85491943359375</v>
      </c>
      <c r="AN95">
        <f t="shared" si="38"/>
        <v>3.5128430859198705</v>
      </c>
      <c r="AO95">
        <f t="shared" si="39"/>
        <v>27.217582074904854</v>
      </c>
    </row>
    <row r="96" spans="1:41" x14ac:dyDescent="0.15">
      <c r="A96" s="1">
        <v>94</v>
      </c>
      <c r="B96">
        <v>34201.135067519099</v>
      </c>
      <c r="C96">
        <v>3.2134609029750698</v>
      </c>
      <c r="D96">
        <f t="shared" si="20"/>
        <v>12.54430730441188</v>
      </c>
      <c r="E96">
        <f t="shared" si="21"/>
        <v>96.129794086602203</v>
      </c>
      <c r="F96">
        <v>70204.830466618499</v>
      </c>
      <c r="G96">
        <v>2.86224365234375</v>
      </c>
      <c r="H96">
        <f t="shared" si="22"/>
        <v>3.5546580566259642</v>
      </c>
      <c r="I96">
        <f t="shared" si="23"/>
        <v>27.240128828122323</v>
      </c>
      <c r="J96">
        <v>106209.864198715</v>
      </c>
      <c r="K96">
        <v>3.21563720703125</v>
      </c>
      <c r="L96">
        <f t="shared" si="24"/>
        <v>12.392634941130749</v>
      </c>
      <c r="M96">
        <f t="shared" si="25"/>
        <v>96.084281741129217</v>
      </c>
      <c r="N96">
        <v>142213.24550581499</v>
      </c>
      <c r="O96">
        <v>2.8570556640625</v>
      </c>
      <c r="P96">
        <f t="shared" si="26"/>
        <v>3.4029856933446379</v>
      </c>
      <c r="Q96">
        <f t="shared" si="27"/>
        <v>26.384496733228541</v>
      </c>
      <c r="R96">
        <v>178218.62522491001</v>
      </c>
      <c r="S96">
        <v>3.21807861328125</v>
      </c>
      <c r="T96">
        <f t="shared" si="28"/>
        <v>12.395686698943059</v>
      </c>
      <c r="U96">
        <f t="shared" si="29"/>
        <v>96.085208032130623</v>
      </c>
      <c r="V96">
        <v>214222.01653301</v>
      </c>
      <c r="W96">
        <v>2.85186767578125</v>
      </c>
      <c r="X96">
        <f t="shared" si="30"/>
        <v>3.4060374511572284</v>
      </c>
      <c r="Y96">
        <f t="shared" si="31"/>
        <v>26.401911004057197</v>
      </c>
      <c r="Z96">
        <v>250227.41525910501</v>
      </c>
      <c r="AA96">
        <v>3.2219256776751499</v>
      </c>
      <c r="AB96">
        <f t="shared" si="32"/>
        <v>12.398738456755559</v>
      </c>
      <c r="AC96">
        <f t="shared" si="33"/>
        <v>96.086133884994283</v>
      </c>
      <c r="AD96">
        <v>286230.84256820497</v>
      </c>
      <c r="AE96">
        <v>2.85308837890625</v>
      </c>
      <c r="AF96">
        <f t="shared" si="34"/>
        <v>3.4090892089697284</v>
      </c>
      <c r="AG96">
        <f t="shared" si="35"/>
        <v>26.419317037894068</v>
      </c>
      <c r="AH96">
        <v>322236.42829730001</v>
      </c>
      <c r="AI96">
        <v>3.2271938131313198</v>
      </c>
      <c r="AJ96">
        <f t="shared" si="36"/>
        <v>12.401485038786809</v>
      </c>
      <c r="AK96">
        <f t="shared" si="37"/>
        <v>96.086966778220628</v>
      </c>
      <c r="AL96">
        <v>358239.88760640001</v>
      </c>
      <c r="AM96">
        <v>2.8509521484375</v>
      </c>
      <c r="AN96">
        <f t="shared" si="38"/>
        <v>3.4118357910009713</v>
      </c>
      <c r="AO96">
        <f t="shared" si="39"/>
        <v>26.434975430549329</v>
      </c>
    </row>
    <row r="97" spans="1:41" x14ac:dyDescent="0.15">
      <c r="A97" s="1">
        <v>95</v>
      </c>
      <c r="B97">
        <v>34564.761329227302</v>
      </c>
      <c r="C97">
        <v>3.2160965119949498</v>
      </c>
      <c r="D97">
        <f t="shared" si="20"/>
        <v>12.645314599330826</v>
      </c>
      <c r="E97">
        <f t="shared" si="21"/>
        <v>96.903835269281771</v>
      </c>
      <c r="F97">
        <v>70568.456728326695</v>
      </c>
      <c r="G97">
        <v>2.8570556640625</v>
      </c>
      <c r="H97">
        <f t="shared" si="22"/>
        <v>3.4536507617070207</v>
      </c>
      <c r="I97">
        <f t="shared" si="23"/>
        <v>26.466087645442769</v>
      </c>
      <c r="J97">
        <v>106573.490460423</v>
      </c>
      <c r="K97">
        <v>3.2176193083176199</v>
      </c>
      <c r="L97">
        <f t="shared" si="24"/>
        <v>12.493642236049636</v>
      </c>
      <c r="M97">
        <f t="shared" si="25"/>
        <v>96.867425392902931</v>
      </c>
      <c r="N97">
        <v>142576.871767523</v>
      </c>
      <c r="O97">
        <v>2.85247802734375</v>
      </c>
      <c r="P97">
        <f t="shared" si="26"/>
        <v>3.3019783984257476</v>
      </c>
      <c r="Q97">
        <f t="shared" si="27"/>
        <v>25.601353081454803</v>
      </c>
      <c r="R97">
        <v>178582.25148661801</v>
      </c>
      <c r="S97">
        <v>3.2205169369477802</v>
      </c>
      <c r="T97">
        <f t="shared" si="28"/>
        <v>12.49669399386195</v>
      </c>
      <c r="U97">
        <f t="shared" si="29"/>
        <v>96.868166425704075</v>
      </c>
      <c r="V97">
        <v>214585.64279471801</v>
      </c>
      <c r="W97">
        <v>2.8472900390625</v>
      </c>
      <c r="X97">
        <f t="shared" si="30"/>
        <v>3.3050301562383382</v>
      </c>
      <c r="Y97">
        <f t="shared" si="31"/>
        <v>25.618952610483742</v>
      </c>
      <c r="Z97">
        <v>250591.04152081301</v>
      </c>
      <c r="AA97">
        <v>3.22448422210371</v>
      </c>
      <c r="AB97">
        <f t="shared" si="32"/>
        <v>12.49974575167445</v>
      </c>
      <c r="AC97">
        <f t="shared" si="33"/>
        <v>96.868907107995</v>
      </c>
      <c r="AD97">
        <v>286594.46882991301</v>
      </c>
      <c r="AE97">
        <v>2.8485107421875</v>
      </c>
      <c r="AF97">
        <f t="shared" si="34"/>
        <v>3.3080819140508311</v>
      </c>
      <c r="AG97">
        <f t="shared" si="35"/>
        <v>25.636543814893287</v>
      </c>
      <c r="AH97">
        <v>322600.05455900799</v>
      </c>
      <c r="AI97">
        <v>3.2299773861665102</v>
      </c>
      <c r="AJ97">
        <f t="shared" si="36"/>
        <v>12.502492333705693</v>
      </c>
      <c r="AK97">
        <f t="shared" si="37"/>
        <v>96.869573422576025</v>
      </c>
      <c r="AL97">
        <v>358603.51386810798</v>
      </c>
      <c r="AM97">
        <v>2.84637451171875</v>
      </c>
      <c r="AN97">
        <f t="shared" si="38"/>
        <v>3.3108284960820882</v>
      </c>
      <c r="AO97">
        <f t="shared" si="39"/>
        <v>25.652368786193929</v>
      </c>
    </row>
    <row r="98" spans="1:41" x14ac:dyDescent="0.15">
      <c r="A98" s="1">
        <v>96</v>
      </c>
      <c r="B98">
        <v>34928.387590935497</v>
      </c>
      <c r="C98">
        <v>3.21868896484375</v>
      </c>
      <c r="D98">
        <f t="shared" si="20"/>
        <v>12.746321894249769</v>
      </c>
      <c r="E98">
        <f t="shared" si="21"/>
        <v>97.677876451961325</v>
      </c>
      <c r="F98">
        <v>70932.082990034905</v>
      </c>
      <c r="G98">
        <v>2.85186767578125</v>
      </c>
      <c r="H98">
        <f t="shared" si="22"/>
        <v>3.3526434667880736</v>
      </c>
      <c r="I98">
        <f t="shared" si="23"/>
        <v>25.692046462763184</v>
      </c>
      <c r="J98">
        <v>106937.116722131</v>
      </c>
      <c r="K98">
        <v>3.2203258167617599</v>
      </c>
      <c r="L98">
        <f t="shared" si="24"/>
        <v>12.594649530968526</v>
      </c>
      <c r="M98">
        <f t="shared" si="25"/>
        <v>97.650569044676672</v>
      </c>
      <c r="N98">
        <v>142940.49802923101</v>
      </c>
      <c r="O98">
        <v>2.84759521484375</v>
      </c>
      <c r="P98">
        <f t="shared" si="26"/>
        <v>3.2009711035068573</v>
      </c>
      <c r="Q98">
        <f t="shared" si="27"/>
        <v>24.818209429681062</v>
      </c>
      <c r="R98">
        <v>178945.87774832599</v>
      </c>
      <c r="S98">
        <v>3.2238399621210698</v>
      </c>
      <c r="T98">
        <f t="shared" si="28"/>
        <v>12.597701288780833</v>
      </c>
      <c r="U98">
        <f t="shared" si="29"/>
        <v>97.651124819277484</v>
      </c>
      <c r="V98">
        <v>214949.26905642601</v>
      </c>
      <c r="W98">
        <v>2.84271240234375</v>
      </c>
      <c r="X98">
        <f t="shared" si="30"/>
        <v>3.2040228613194479</v>
      </c>
      <c r="Y98">
        <f t="shared" si="31"/>
        <v>24.835994216910283</v>
      </c>
      <c r="Z98">
        <v>250954.66778252099</v>
      </c>
      <c r="AA98">
        <v>3.2270026929448199</v>
      </c>
      <c r="AB98">
        <f t="shared" si="32"/>
        <v>12.600753046593333</v>
      </c>
      <c r="AC98">
        <f t="shared" si="33"/>
        <v>97.651680330995674</v>
      </c>
      <c r="AD98">
        <v>286958.09509162098</v>
      </c>
      <c r="AE98">
        <v>2.84393310546875</v>
      </c>
      <c r="AF98">
        <f t="shared" si="34"/>
        <v>3.2070746191319479</v>
      </c>
      <c r="AG98">
        <f t="shared" si="35"/>
        <v>24.853770591892619</v>
      </c>
      <c r="AH98">
        <v>322963.68082071602</v>
      </c>
      <c r="AI98">
        <v>3.2333743933476802</v>
      </c>
      <c r="AJ98">
        <f t="shared" si="36"/>
        <v>12.603499628624592</v>
      </c>
      <c r="AK98">
        <f t="shared" si="37"/>
        <v>97.65218006693155</v>
      </c>
      <c r="AL98">
        <v>358967.14012981602</v>
      </c>
      <c r="AM98">
        <v>2.841796875</v>
      </c>
      <c r="AN98">
        <f t="shared" si="38"/>
        <v>3.209821201163189</v>
      </c>
      <c r="AO98">
        <f t="shared" si="39"/>
        <v>24.869762141838407</v>
      </c>
    </row>
    <row r="99" spans="1:41" x14ac:dyDescent="0.15">
      <c r="A99" s="1">
        <v>97</v>
      </c>
      <c r="B99">
        <v>35292.0138526437</v>
      </c>
      <c r="C99">
        <v>3.22227400962753</v>
      </c>
      <c r="D99">
        <f t="shared" si="20"/>
        <v>12.847329189168715</v>
      </c>
      <c r="E99">
        <f t="shared" si="21"/>
        <v>98.451917634640893</v>
      </c>
      <c r="F99">
        <v>71295.709251743101</v>
      </c>
      <c r="G99">
        <v>2.8466796875</v>
      </c>
      <c r="H99">
        <f t="shared" si="22"/>
        <v>3.25163617186913</v>
      </c>
      <c r="I99">
        <f t="shared" si="23"/>
        <v>24.918005280083634</v>
      </c>
      <c r="J99">
        <v>107300.74298384</v>
      </c>
      <c r="K99">
        <v>3.2237998885338901</v>
      </c>
      <c r="L99">
        <f t="shared" si="24"/>
        <v>12.695656825887692</v>
      </c>
      <c r="M99">
        <f t="shared" si="25"/>
        <v>98.433712696452545</v>
      </c>
      <c r="N99">
        <v>143304.12429094</v>
      </c>
      <c r="O99">
        <v>2.84271240234375</v>
      </c>
      <c r="P99">
        <f t="shared" si="26"/>
        <v>3.0999638085876917</v>
      </c>
      <c r="Q99">
        <f t="shared" si="27"/>
        <v>24.035065777905189</v>
      </c>
      <c r="R99">
        <v>179309.50401003499</v>
      </c>
      <c r="S99">
        <v>3.2268516463463901</v>
      </c>
      <c r="T99">
        <f t="shared" si="28"/>
        <v>12.698708583699998</v>
      </c>
      <c r="U99">
        <f t="shared" si="29"/>
        <v>98.434083212853068</v>
      </c>
      <c r="V99">
        <v>215312.89531813501</v>
      </c>
      <c r="W99">
        <v>2.838134765625</v>
      </c>
      <c r="X99">
        <f t="shared" si="30"/>
        <v>3.1030155664002823</v>
      </c>
      <c r="Y99">
        <f t="shared" si="31"/>
        <v>24.053035823334689</v>
      </c>
      <c r="Z99">
        <v>251318.29404422999</v>
      </c>
      <c r="AA99">
        <v>3.2313522184735799</v>
      </c>
      <c r="AB99">
        <f t="shared" si="32"/>
        <v>12.701760341512498</v>
      </c>
      <c r="AC99">
        <f t="shared" si="33"/>
        <v>98.434453553998537</v>
      </c>
      <c r="AD99">
        <v>287321.72135333001</v>
      </c>
      <c r="AE99">
        <v>2.83935546875</v>
      </c>
      <c r="AF99">
        <f t="shared" si="34"/>
        <v>3.1060673242127734</v>
      </c>
      <c r="AG99">
        <f t="shared" si="35"/>
        <v>24.070997368889692</v>
      </c>
      <c r="AH99">
        <v>323327.30708242499</v>
      </c>
      <c r="AI99">
        <v>3.2373817520911001</v>
      </c>
      <c r="AJ99">
        <f t="shared" si="36"/>
        <v>12.704506923543748</v>
      </c>
      <c r="AK99">
        <f t="shared" si="37"/>
        <v>98.434786711289064</v>
      </c>
      <c r="AL99">
        <v>359330.76639152499</v>
      </c>
      <c r="AM99">
        <v>2.83721923828125</v>
      </c>
      <c r="AN99">
        <f t="shared" si="38"/>
        <v>3.1088139062440323</v>
      </c>
      <c r="AO99">
        <f t="shared" si="39"/>
        <v>24.087155497480882</v>
      </c>
    </row>
    <row r="100" spans="1:41" x14ac:dyDescent="0.15">
      <c r="A100" s="1">
        <v>98</v>
      </c>
      <c r="B100">
        <v>35655.640114351903</v>
      </c>
      <c r="C100">
        <v>3.2252117118450099</v>
      </c>
      <c r="D100">
        <f t="shared" si="20"/>
        <v>12.94833648408766</v>
      </c>
      <c r="E100">
        <f t="shared" si="21"/>
        <v>99.225958817320461</v>
      </c>
      <c r="F100">
        <v>71659.335513451297</v>
      </c>
      <c r="G100">
        <v>2.8411865234375</v>
      </c>
      <c r="H100">
        <f t="shared" si="22"/>
        <v>3.1506288769501865</v>
      </c>
      <c r="I100">
        <f t="shared" si="23"/>
        <v>24.143964097404076</v>
      </c>
      <c r="J100">
        <v>107664.369245548</v>
      </c>
      <c r="K100">
        <v>3.22723388671875</v>
      </c>
      <c r="L100">
        <f t="shared" si="24"/>
        <v>12.796664120806582</v>
      </c>
      <c r="M100">
        <f t="shared" si="25"/>
        <v>99.216856348226287</v>
      </c>
      <c r="N100">
        <v>143667.75055264801</v>
      </c>
      <c r="O100">
        <v>2.8375244140625</v>
      </c>
      <c r="P100">
        <f t="shared" si="26"/>
        <v>2.9989565136688014</v>
      </c>
      <c r="Q100">
        <f t="shared" si="27"/>
        <v>23.251922126131447</v>
      </c>
      <c r="R100">
        <v>179673.13027174299</v>
      </c>
      <c r="S100">
        <v>3.2303226355352099</v>
      </c>
      <c r="T100">
        <f t="shared" si="28"/>
        <v>12.799715878618889</v>
      </c>
      <c r="U100">
        <f t="shared" si="29"/>
        <v>99.21704160642652</v>
      </c>
      <c r="V100">
        <v>215676.52157984301</v>
      </c>
      <c r="W100">
        <v>2.83355712890625</v>
      </c>
      <c r="X100">
        <f t="shared" si="30"/>
        <v>3.002008271481392</v>
      </c>
      <c r="Y100">
        <f t="shared" si="31"/>
        <v>23.270077429761233</v>
      </c>
      <c r="Z100">
        <v>251681.92030593799</v>
      </c>
      <c r="AA100">
        <v>3.2349773368449601</v>
      </c>
      <c r="AB100">
        <f t="shared" si="32"/>
        <v>12.802767636431389</v>
      </c>
      <c r="AC100">
        <f t="shared" si="33"/>
        <v>99.217226776999254</v>
      </c>
      <c r="AD100">
        <v>287685.34761503799</v>
      </c>
      <c r="AE100">
        <v>2.83477783203125</v>
      </c>
      <c r="AF100">
        <f t="shared" si="34"/>
        <v>3.005060029293892</v>
      </c>
      <c r="AG100">
        <f t="shared" si="35"/>
        <v>23.288224145889032</v>
      </c>
      <c r="AH100">
        <v>323690.93334413302</v>
      </c>
      <c r="AI100">
        <v>3.24249267578125</v>
      </c>
      <c r="AJ100">
        <f t="shared" si="36"/>
        <v>12.805514218462648</v>
      </c>
      <c r="AK100">
        <f t="shared" si="37"/>
        <v>99.217393355644603</v>
      </c>
      <c r="AL100">
        <v>359694.39265323302</v>
      </c>
      <c r="AM100">
        <v>2.8326416015625</v>
      </c>
      <c r="AN100">
        <f t="shared" si="38"/>
        <v>3.0078066113251332</v>
      </c>
      <c r="AO100">
        <f t="shared" si="39"/>
        <v>23.304548853125358</v>
      </c>
    </row>
    <row r="101" spans="1:41" x14ac:dyDescent="0.15">
      <c r="A101" s="1">
        <v>99</v>
      </c>
      <c r="B101">
        <v>36019.266376060099</v>
      </c>
      <c r="C101">
        <v>3.22906494140625</v>
      </c>
      <c r="D101">
        <f t="shared" si="20"/>
        <v>13.049343779006602</v>
      </c>
      <c r="E101">
        <f t="shared" si="21"/>
        <v>100</v>
      </c>
      <c r="F101">
        <v>72022.961775159507</v>
      </c>
      <c r="G101">
        <v>2.83599853515625</v>
      </c>
      <c r="H101">
        <f t="shared" si="22"/>
        <v>3.0496215820312393</v>
      </c>
      <c r="I101">
        <f t="shared" si="23"/>
        <v>23.369922914724498</v>
      </c>
      <c r="J101">
        <v>108027.995507256</v>
      </c>
      <c r="K101">
        <v>3.23089599609375</v>
      </c>
      <c r="L101">
        <f t="shared" si="24"/>
        <v>12.897671415725469</v>
      </c>
      <c r="M101">
        <f t="shared" si="25"/>
        <v>100</v>
      </c>
      <c r="N101">
        <v>144031.37681435599</v>
      </c>
      <c r="O101">
        <v>2.8326416015625</v>
      </c>
      <c r="P101">
        <f t="shared" si="26"/>
        <v>2.8979492187499183</v>
      </c>
      <c r="Q101">
        <f t="shared" si="27"/>
        <v>22.468778474357762</v>
      </c>
      <c r="R101">
        <v>180036.756533451</v>
      </c>
      <c r="S101">
        <v>3.23455810546875</v>
      </c>
      <c r="T101">
        <f t="shared" si="28"/>
        <v>12.900723173537781</v>
      </c>
      <c r="U101">
        <f t="shared" si="29"/>
        <v>100</v>
      </c>
      <c r="V101">
        <v>216040.14784155099</v>
      </c>
      <c r="W101">
        <v>2.82867431640625</v>
      </c>
      <c r="X101">
        <f t="shared" si="30"/>
        <v>2.9010009765625089</v>
      </c>
      <c r="Y101">
        <f t="shared" si="31"/>
        <v>22.487119036187828</v>
      </c>
      <c r="Z101">
        <v>252045.546567646</v>
      </c>
      <c r="AA101">
        <v>3.23944091796875</v>
      </c>
      <c r="AB101">
        <f t="shared" si="32"/>
        <v>12.903774931350281</v>
      </c>
      <c r="AC101">
        <f t="shared" si="33"/>
        <v>100</v>
      </c>
      <c r="AD101">
        <v>288048.97387674602</v>
      </c>
      <c r="AE101">
        <v>2.82989501953125</v>
      </c>
      <c r="AF101">
        <f t="shared" si="34"/>
        <v>2.9040527343749929</v>
      </c>
      <c r="AG101">
        <f t="shared" si="35"/>
        <v>22.505450922888237</v>
      </c>
      <c r="AH101">
        <v>324054.559605841</v>
      </c>
      <c r="AI101">
        <v>3.248291015625</v>
      </c>
      <c r="AJ101">
        <f t="shared" si="36"/>
        <v>12.906521513381531</v>
      </c>
      <c r="AK101">
        <f t="shared" si="37"/>
        <v>100</v>
      </c>
      <c r="AL101">
        <v>360058.018914941</v>
      </c>
      <c r="AM101">
        <v>2.8277587890625</v>
      </c>
      <c r="AN101">
        <f t="shared" si="38"/>
        <v>2.90679931640625</v>
      </c>
      <c r="AO101">
        <f t="shared" si="39"/>
        <v>22.521942208769957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Coralie Debrabant</dc:creator>
  <dc:description/>
  <cp:lastModifiedBy>Noemie Coustaut</cp:lastModifiedBy>
  <cp:revision>0</cp:revision>
  <dcterms:created xsi:type="dcterms:W3CDTF">2024-12-16T09:23:22Z</dcterms:created>
  <dcterms:modified xsi:type="dcterms:W3CDTF">2024-12-18T11:44:22Z</dcterms:modified>
  <dc:language>en-US</dc:language>
</cp:coreProperties>
</file>