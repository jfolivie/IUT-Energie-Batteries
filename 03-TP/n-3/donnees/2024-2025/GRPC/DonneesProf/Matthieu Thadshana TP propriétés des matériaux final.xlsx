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  <sheet name="Feuil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<sst xmlns="http://schemas.openxmlformats.org/spreadsheetml/2006/main" count="24" uniqueCount="24">
  <si>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t_C1</t>
  </si>
  <si>
    <t xml:space="preserve">U_C1</t>
  </si>
  <si>
    <t xml:space="preserve">t_D1</t>
  </si>
  <si>
    <t xml:space="preserve">U_D1</t>
  </si>
  <si>
    <t xml:space="preserve">t_C2</t>
  </si>
  <si>
    <t xml:space="preserve">U_C2</t>
  </si>
  <si>
    <t xml:space="preserve">t_D2</t>
  </si>
  <si>
    <t xml:space="preserve">U_D2</t>
  </si>
  <si>
    <t xml:space="preserve">t_C3</t>
  </si>
  <si>
    <t xml:space="preserve">U_C3</t>
  </si>
  <si>
    <t xml:space="preserve">t_D3</t>
  </si>
  <si>
    <t xml:space="preserve">U_D3</t>
  </si>
  <si>
    <t xml:space="preserve">t_C4</t>
  </si>
  <si>
    <t xml:space="preserve">U_C4</t>
  </si>
  <si>
    <t xml:space="preserve">t_D4</t>
  </si>
  <si>
    <t xml:space="preserve">U_D4</t>
  </si>
  <si>
    <t xml:space="preserve">t_C5</t>
  </si>
  <si>
    <t xml:space="preserve">U_C5</t>
  </si>
  <si>
    <t xml:space="preserve">t_D5</t>
  </si>
  <si>
    <t xml:space="preserve">U_D5</t>
  </si>
  <si>
    <t xml:space="preserve">Q(ma/H)(Charge)</t>
  </si>
  <si>
    <t xml:space="preserve">Etat de charge</t>
  </si>
  <si>
    <t xml:space="preserve">Q(ma/H)(décharge)</t>
  </si>
  <si>
    <t xml:space="preserve">état de décharge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</si>
</sst>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4"/>
      <color rgb="FF595959"/>
      <name val="Arial"/>
      <family val="2"/>
    </font>
    <font>
      <sz val="9"/>
      <color rgb="FF595959"/>
      <name val="Arial"/>
      <family val="2"/>
    </font>
    <font>
      <sz val="10"/>
      <color rgb="FF595959"/>
      <name val="Arial"/>
      <family val="2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center" vertical="top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false" applyProtection="true">
      <alignment horizontal="center" vertical="top" textRotation="0" wrapText="false" indent="0" shrinkToFit="false"/>
      <protection locked="true" hidden="false"/>
    </xf>
    <xf numFmtId="164" fontId="4" fillId="0" borderId="2" xfId="20" applyFont="true" applyBorder="true" applyAlignment="fals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pd1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6202"/>
      <rgbColor rgb="FF000080"/>
      <rgbColor rgb="FF808000"/>
      <rgbColor rgb="FF8E03A3"/>
      <rgbColor rgb="FF008080"/>
      <rgbColor rgb="FFBFBFBF"/>
      <rgbColor rgb="FF808080"/>
      <rgbColor rgb="FF9999FF"/>
      <rgbColor rgb="FFC9211E"/>
      <rgbColor rgb="FFFFFFCC"/>
      <rgbColor rgb="FFCCFFFF"/>
      <rgbColor rgb="FF550262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C00"/>
      <rgbColor rgb="FFFF420E"/>
      <rgbColor rgb="FF595959"/>
      <rgbColor rgb="FFB3B3B3"/>
      <rgbColor rgb="FF023F62"/>
      <rgbColor rgb="FF18A303"/>
      <rgbColor rgb="FF003300"/>
      <rgbColor rgb="FF622502"/>
      <rgbColor rgb="FFA33E03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Evolution de la tension de charge/décharge en fonction du temps(5 cycles)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881021220882658"/>
          <c:y val="0.154549231408392"/>
          <c:w val="0.854399650864655"/>
          <c:h val="0.706771915247196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18a3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</c:v>
                </c:pt>
                <c:pt idx="2">
                  <c:v>747.518990365221</c:v>
                </c:pt>
                <c:pt idx="3">
                  <c:v>1111.14525207342</c:v>
                </c:pt>
                <c:pt idx="4">
                  <c:v>1474.77151378161</c:v>
                </c:pt>
                <c:pt idx="5">
                  <c:v>1838.39777548981</c:v>
                </c:pt>
                <c:pt idx="6">
                  <c:v>2202.024037198</c:v>
                </c:pt>
                <c:pt idx="7">
                  <c:v>2565.65029890619</c:v>
                </c:pt>
                <c:pt idx="8">
                  <c:v>2929.27656061439</c:v>
                </c:pt>
                <c:pt idx="9">
                  <c:v>3292.90282232258</c:v>
                </c:pt>
                <c:pt idx="10">
                  <c:v>3656.52908403078</c:v>
                </c:pt>
                <c:pt idx="11">
                  <c:v>4020.15534573897</c:v>
                </c:pt>
                <c:pt idx="12">
                  <c:v>4383.78160744717</c:v>
                </c:pt>
                <c:pt idx="13">
                  <c:v>4747.40786915536</c:v>
                </c:pt>
                <c:pt idx="14">
                  <c:v>5111.03413086356</c:v>
                </c:pt>
                <c:pt idx="15">
                  <c:v>5474.66039257175</c:v>
                </c:pt>
                <c:pt idx="16">
                  <c:v>5838.28665427995</c:v>
                </c:pt>
                <c:pt idx="17">
                  <c:v>6201.91291598814</c:v>
                </c:pt>
                <c:pt idx="18">
                  <c:v>6565.53917769634</c:v>
                </c:pt>
                <c:pt idx="19">
                  <c:v>6929.16543940453</c:v>
                </c:pt>
                <c:pt idx="20">
                  <c:v>7292.79170111273</c:v>
                </c:pt>
                <c:pt idx="21">
                  <c:v>7656.41796282092</c:v>
                </c:pt>
                <c:pt idx="22">
                  <c:v>8020.04422452911</c:v>
                </c:pt>
                <c:pt idx="23">
                  <c:v>8383.67048623731</c:v>
                </c:pt>
                <c:pt idx="24">
                  <c:v>8747.2967479455</c:v>
                </c:pt>
                <c:pt idx="25">
                  <c:v>9110.9230096537</c:v>
                </c:pt>
                <c:pt idx="26">
                  <c:v>9474.54927136189</c:v>
                </c:pt>
                <c:pt idx="27">
                  <c:v>9838.17553307009</c:v>
                </c:pt>
                <c:pt idx="28">
                  <c:v>10201.8017947783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</c:v>
                </c:pt>
                <c:pt idx="32">
                  <c:v>11656.3068416111</c:v>
                </c:pt>
                <c:pt idx="33">
                  <c:v>12019.9331033193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</c:v>
                </c:pt>
                <c:pt idx="37">
                  <c:v>13474.438150152</c:v>
                </c:pt>
                <c:pt idx="38">
                  <c:v>13838.0644118602</c:v>
                </c:pt>
                <c:pt idx="39">
                  <c:v>14201.6906735684</c:v>
                </c:pt>
                <c:pt idx="40">
                  <c:v>14565.3169352766</c:v>
                </c:pt>
                <c:pt idx="41">
                  <c:v>14928.9431969848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</c:v>
                </c:pt>
                <c:pt idx="45">
                  <c:v>16383.4482438176</c:v>
                </c:pt>
                <c:pt idx="46">
                  <c:v>16747.0745055258</c:v>
                </c:pt>
                <c:pt idx="47">
                  <c:v>17110.700767234</c:v>
                </c:pt>
                <c:pt idx="48">
                  <c:v>17474.3270289422</c:v>
                </c:pt>
                <c:pt idx="49">
                  <c:v>17837.9532906504</c:v>
                </c:pt>
                <c:pt idx="50">
                  <c:v>18201.5795523586</c:v>
                </c:pt>
                <c:pt idx="51">
                  <c:v>18565.2058140668</c:v>
                </c:pt>
                <c:pt idx="52">
                  <c:v>18928.832075775</c:v>
                </c:pt>
                <c:pt idx="53">
                  <c:v>19292.4583374832</c:v>
                </c:pt>
                <c:pt idx="54">
                  <c:v>19656.0845991913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20746.9633843159</c:v>
                </c:pt>
                <c:pt idx="58">
                  <c:v>21110.5896460241</c:v>
                </c:pt>
                <c:pt idx="59">
                  <c:v>21474.2159077323</c:v>
                </c:pt>
                <c:pt idx="60">
                  <c:v>21837.8421694405</c:v>
                </c:pt>
                <c:pt idx="61">
                  <c:v>22201.4684311487</c:v>
                </c:pt>
                <c:pt idx="62">
                  <c:v>22565.0946928569</c:v>
                </c:pt>
                <c:pt idx="63">
                  <c:v>22928.7209545651</c:v>
                </c:pt>
                <c:pt idx="64">
                  <c:v>23292.3472162733</c:v>
                </c:pt>
                <c:pt idx="65">
                  <c:v>23655.9734779815</c:v>
                </c:pt>
                <c:pt idx="66">
                  <c:v>24019.5997396897</c:v>
                </c:pt>
                <c:pt idx="67">
                  <c:v>24383.2260013979</c:v>
                </c:pt>
                <c:pt idx="68">
                  <c:v>24746.8522631061</c:v>
                </c:pt>
                <c:pt idx="69">
                  <c:v>25110.4785248143</c:v>
                </c:pt>
                <c:pt idx="70">
                  <c:v>25474.1047865225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</c:v>
                </c:pt>
                <c:pt idx="74">
                  <c:v>26928.6098333552</c:v>
                </c:pt>
                <c:pt idx="75">
                  <c:v>27292.2360950634</c:v>
                </c:pt>
                <c:pt idx="76">
                  <c:v>27655.8623567716</c:v>
                </c:pt>
                <c:pt idx="77">
                  <c:v>28019.4886184798</c:v>
                </c:pt>
                <c:pt idx="78">
                  <c:v>28383.114880188</c:v>
                </c:pt>
                <c:pt idx="79">
                  <c:v>28746.7411418962</c:v>
                </c:pt>
                <c:pt idx="80">
                  <c:v>29110.3674036044</c:v>
                </c:pt>
                <c:pt idx="81">
                  <c:v>29473.9936653126</c:v>
                </c:pt>
                <c:pt idx="82">
                  <c:v>29837.6199270208</c:v>
                </c:pt>
                <c:pt idx="83">
                  <c:v>30201.246188729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31292.1249738536</c:v>
                </c:pt>
                <c:pt idx="87">
                  <c:v>31655.7512355618</c:v>
                </c:pt>
                <c:pt idx="88">
                  <c:v>32019.37749727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33110.2562823945</c:v>
                </c:pt>
                <c:pt idx="92">
                  <c:v>33473.8825441027</c:v>
                </c:pt>
                <c:pt idx="93">
                  <c:v>33837.5088058109</c:v>
                </c:pt>
                <c:pt idx="94">
                  <c:v>34201.1350675191</c:v>
                </c:pt>
                <c:pt idx="95">
                  <c:v>34564.7613292273</c:v>
                </c:pt>
                <c:pt idx="96">
                  <c:v>34928.3875909355</c:v>
                </c:pt>
                <c:pt idx="97">
                  <c:v>35292.0138526437</c:v>
                </c:pt>
                <c:pt idx="98">
                  <c:v>35655.6401143519</c:v>
                </c:pt>
                <c:pt idx="99">
                  <c:v>36019.2663760601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369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Sheet1!$D$2:$D$101</c:f>
              <c:numCache>
                <c:formatCode>General</c:formatCode>
                <c:ptCount val="100"/>
                <c:pt idx="0">
                  <c:v>36023.9618660482</c:v>
                </c:pt>
                <c:pt idx="1">
                  <c:v>36387.5881277564</c:v>
                </c:pt>
                <c:pt idx="2">
                  <c:v>36751.2143894646</c:v>
                </c:pt>
                <c:pt idx="3">
                  <c:v>37114.8406511728</c:v>
                </c:pt>
                <c:pt idx="4">
                  <c:v>37478.466912881</c:v>
                </c:pt>
                <c:pt idx="5">
                  <c:v>37842.0931745892</c:v>
                </c:pt>
                <c:pt idx="6">
                  <c:v>38205.7194362974</c:v>
                </c:pt>
                <c:pt idx="7">
                  <c:v>38569.3456980056</c:v>
                </c:pt>
                <c:pt idx="8">
                  <c:v>38932.9719597138</c:v>
                </c:pt>
                <c:pt idx="9">
                  <c:v>39296.598221422</c:v>
                </c:pt>
                <c:pt idx="10">
                  <c:v>39660.2244831302</c:v>
                </c:pt>
                <c:pt idx="11">
                  <c:v>40023.8507448383</c:v>
                </c:pt>
                <c:pt idx="12">
                  <c:v>40387.4770065465</c:v>
                </c:pt>
                <c:pt idx="13">
                  <c:v>40751.1032682547</c:v>
                </c:pt>
                <c:pt idx="14">
                  <c:v>41114.7295299629</c:v>
                </c:pt>
                <c:pt idx="15">
                  <c:v>41478.3557916711</c:v>
                </c:pt>
                <c:pt idx="16">
                  <c:v>41841.9820533793</c:v>
                </c:pt>
                <c:pt idx="17">
                  <c:v>42205.6083150875</c:v>
                </c:pt>
                <c:pt idx="18">
                  <c:v>42569.2345767957</c:v>
                </c:pt>
                <c:pt idx="19">
                  <c:v>42932.8608385039</c:v>
                </c:pt>
                <c:pt idx="20">
                  <c:v>43296.4871002121</c:v>
                </c:pt>
                <c:pt idx="21">
                  <c:v>43660.1133619203</c:v>
                </c:pt>
                <c:pt idx="22">
                  <c:v>44023.7396236285</c:v>
                </c:pt>
                <c:pt idx="23">
                  <c:v>44387.3658853367</c:v>
                </c:pt>
                <c:pt idx="24">
                  <c:v>44750.9921470449</c:v>
                </c:pt>
                <c:pt idx="25">
                  <c:v>45114.6184087531</c:v>
                </c:pt>
                <c:pt idx="26">
                  <c:v>45478.2446704613</c:v>
                </c:pt>
                <c:pt idx="27">
                  <c:v>45841.8709321695</c:v>
                </c:pt>
                <c:pt idx="28">
                  <c:v>46205.4971938777</c:v>
                </c:pt>
                <c:pt idx="29">
                  <c:v>46569.1234555859</c:v>
                </c:pt>
                <c:pt idx="30">
                  <c:v>46932.7497172941</c:v>
                </c:pt>
                <c:pt idx="31">
                  <c:v>47296.3759790022</c:v>
                </c:pt>
                <c:pt idx="32">
                  <c:v>47660.0022407104</c:v>
                </c:pt>
                <c:pt idx="33">
                  <c:v>48023.6285024186</c:v>
                </c:pt>
                <c:pt idx="34">
                  <c:v>48387.2547641268</c:v>
                </c:pt>
                <c:pt idx="35">
                  <c:v>48750.881025835</c:v>
                </c:pt>
                <c:pt idx="36">
                  <c:v>49114.5072875432</c:v>
                </c:pt>
                <c:pt idx="37">
                  <c:v>49478.1335492514</c:v>
                </c:pt>
                <c:pt idx="38">
                  <c:v>49841.7598109596</c:v>
                </c:pt>
                <c:pt idx="39">
                  <c:v>50205.3860726678</c:v>
                </c:pt>
                <c:pt idx="40">
                  <c:v>50569.012334376</c:v>
                </c:pt>
                <c:pt idx="41">
                  <c:v>50932.6385960842</c:v>
                </c:pt>
                <c:pt idx="42">
                  <c:v>51296.2648577924</c:v>
                </c:pt>
                <c:pt idx="43">
                  <c:v>51659.8911195006</c:v>
                </c:pt>
                <c:pt idx="44">
                  <c:v>52023.5173812088</c:v>
                </c:pt>
                <c:pt idx="45">
                  <c:v>52387.143642917</c:v>
                </c:pt>
                <c:pt idx="46">
                  <c:v>52750.7699046252</c:v>
                </c:pt>
                <c:pt idx="47">
                  <c:v>53114.3961663334</c:v>
                </c:pt>
                <c:pt idx="48">
                  <c:v>53478.0224280416</c:v>
                </c:pt>
                <c:pt idx="49">
                  <c:v>53841.6486897498</c:v>
                </c:pt>
                <c:pt idx="50">
                  <c:v>54205.274951458</c:v>
                </c:pt>
                <c:pt idx="51">
                  <c:v>54568.9012131661</c:v>
                </c:pt>
                <c:pt idx="52">
                  <c:v>54932.5274748743</c:v>
                </c:pt>
                <c:pt idx="53">
                  <c:v>55296.1537365825</c:v>
                </c:pt>
                <c:pt idx="54">
                  <c:v>55659.7799982907</c:v>
                </c:pt>
                <c:pt idx="55">
                  <c:v>56023.4062599989</c:v>
                </c:pt>
                <c:pt idx="56">
                  <c:v>56387.0325217071</c:v>
                </c:pt>
                <c:pt idx="57">
                  <c:v>56750.6587834153</c:v>
                </c:pt>
                <c:pt idx="58">
                  <c:v>57114.2850451235</c:v>
                </c:pt>
                <c:pt idx="59">
                  <c:v>57477.9113068317</c:v>
                </c:pt>
                <c:pt idx="60">
                  <c:v>57841.5375685399</c:v>
                </c:pt>
                <c:pt idx="61">
                  <c:v>58205.1638302481</c:v>
                </c:pt>
                <c:pt idx="62">
                  <c:v>58568.7900919563</c:v>
                </c:pt>
                <c:pt idx="63">
                  <c:v>58932.4163536645</c:v>
                </c:pt>
                <c:pt idx="64">
                  <c:v>59296.0426153727</c:v>
                </c:pt>
                <c:pt idx="65">
                  <c:v>59659.6688770809</c:v>
                </c:pt>
                <c:pt idx="66">
                  <c:v>60023.2951387891</c:v>
                </c:pt>
                <c:pt idx="67">
                  <c:v>60386.9214004973</c:v>
                </c:pt>
                <c:pt idx="68">
                  <c:v>60750.5476622055</c:v>
                </c:pt>
                <c:pt idx="69">
                  <c:v>61114.1739239137</c:v>
                </c:pt>
                <c:pt idx="70">
                  <c:v>61477.8001856219</c:v>
                </c:pt>
                <c:pt idx="71">
                  <c:v>61841.42644733</c:v>
                </c:pt>
                <c:pt idx="72">
                  <c:v>62205.0527090382</c:v>
                </c:pt>
                <c:pt idx="73">
                  <c:v>62568.6789707464</c:v>
                </c:pt>
                <c:pt idx="74">
                  <c:v>62932.3052324546</c:v>
                </c:pt>
                <c:pt idx="75">
                  <c:v>63295.9314941628</c:v>
                </c:pt>
                <c:pt idx="76">
                  <c:v>63659.557755871</c:v>
                </c:pt>
                <c:pt idx="77">
                  <c:v>64023.1840175792</c:v>
                </c:pt>
                <c:pt idx="78">
                  <c:v>64386.8102792874</c:v>
                </c:pt>
                <c:pt idx="79">
                  <c:v>64750.4365409956</c:v>
                </c:pt>
                <c:pt idx="80">
                  <c:v>65114.0628027038</c:v>
                </c:pt>
                <c:pt idx="81">
                  <c:v>65477.689064412</c:v>
                </c:pt>
                <c:pt idx="82">
                  <c:v>65841.3153261202</c:v>
                </c:pt>
                <c:pt idx="83">
                  <c:v>66204.9415878284</c:v>
                </c:pt>
                <c:pt idx="84">
                  <c:v>66568.5678495366</c:v>
                </c:pt>
                <c:pt idx="85">
                  <c:v>66932.1941112448</c:v>
                </c:pt>
                <c:pt idx="86">
                  <c:v>67295.820372953</c:v>
                </c:pt>
                <c:pt idx="87">
                  <c:v>67659.4466346612</c:v>
                </c:pt>
                <c:pt idx="88">
                  <c:v>68023.0728963694</c:v>
                </c:pt>
                <c:pt idx="89">
                  <c:v>68386.6991580776</c:v>
                </c:pt>
                <c:pt idx="90">
                  <c:v>68750.3254197858</c:v>
                </c:pt>
                <c:pt idx="91">
                  <c:v>69113.9516814939</c:v>
                </c:pt>
                <c:pt idx="92">
                  <c:v>69477.5779432021</c:v>
                </c:pt>
                <c:pt idx="93">
                  <c:v>69841.2042049103</c:v>
                </c:pt>
                <c:pt idx="94">
                  <c:v>70204.8304666185</c:v>
                </c:pt>
                <c:pt idx="95">
                  <c:v>70568.4567283267</c:v>
                </c:pt>
                <c:pt idx="96">
                  <c:v>70932.0829900349</c:v>
                </c:pt>
                <c:pt idx="97">
                  <c:v>71295.7092517431</c:v>
                </c:pt>
                <c:pt idx="98">
                  <c:v>71659.3355134513</c:v>
                </c:pt>
                <c:pt idx="99">
                  <c:v>72022.9617751595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33e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Sheet1!$F$2:$F$101</c:f>
              <c:numCache>
                <c:formatCode>General</c:formatCode>
                <c:ptCount val="100"/>
                <c:pt idx="0">
                  <c:v>72028.9955981443</c:v>
                </c:pt>
                <c:pt idx="1">
                  <c:v>72392.6218598525</c:v>
                </c:pt>
                <c:pt idx="2">
                  <c:v>72756.2481215607</c:v>
                </c:pt>
                <c:pt idx="3">
                  <c:v>73119.8743832689</c:v>
                </c:pt>
                <c:pt idx="4">
                  <c:v>73483.5006449771</c:v>
                </c:pt>
                <c:pt idx="5">
                  <c:v>73847.1269066853</c:v>
                </c:pt>
                <c:pt idx="6">
                  <c:v>74210.7531683935</c:v>
                </c:pt>
                <c:pt idx="7">
                  <c:v>74574.3794301017</c:v>
                </c:pt>
                <c:pt idx="8">
                  <c:v>74938.0056918099</c:v>
                </c:pt>
                <c:pt idx="9">
                  <c:v>75301.6319535181</c:v>
                </c:pt>
                <c:pt idx="10">
                  <c:v>75665.2582152263</c:v>
                </c:pt>
                <c:pt idx="11">
                  <c:v>76028.8844769345</c:v>
                </c:pt>
                <c:pt idx="12">
                  <c:v>76392.5107386427</c:v>
                </c:pt>
                <c:pt idx="13">
                  <c:v>76756.1370003509</c:v>
                </c:pt>
                <c:pt idx="14">
                  <c:v>77119.7632620591</c:v>
                </c:pt>
                <c:pt idx="15">
                  <c:v>77483.3895237673</c:v>
                </c:pt>
                <c:pt idx="16">
                  <c:v>77847.0157854755</c:v>
                </c:pt>
                <c:pt idx="17">
                  <c:v>78210.6420471837</c:v>
                </c:pt>
                <c:pt idx="18">
                  <c:v>78574.2683088919</c:v>
                </c:pt>
                <c:pt idx="19">
                  <c:v>78937.8945706001</c:v>
                </c:pt>
                <c:pt idx="20">
                  <c:v>79301.5208323083</c:v>
                </c:pt>
                <c:pt idx="21">
                  <c:v>79665.1470940165</c:v>
                </c:pt>
                <c:pt idx="22">
                  <c:v>80028.7733557247</c:v>
                </c:pt>
                <c:pt idx="23">
                  <c:v>80392.3996174329</c:v>
                </c:pt>
                <c:pt idx="24">
                  <c:v>80756.0258791411</c:v>
                </c:pt>
                <c:pt idx="25">
                  <c:v>81119.6521408493</c:v>
                </c:pt>
                <c:pt idx="26">
                  <c:v>81483.2784025575</c:v>
                </c:pt>
                <c:pt idx="27">
                  <c:v>81846.9046642657</c:v>
                </c:pt>
                <c:pt idx="28">
                  <c:v>82210.5309259739</c:v>
                </c:pt>
                <c:pt idx="29">
                  <c:v>82574.1571876821</c:v>
                </c:pt>
                <c:pt idx="30">
                  <c:v>82937.7834493903</c:v>
                </c:pt>
                <c:pt idx="31">
                  <c:v>83301.4097110985</c:v>
                </c:pt>
                <c:pt idx="32">
                  <c:v>83665.0359728067</c:v>
                </c:pt>
                <c:pt idx="33">
                  <c:v>84028.6622345149</c:v>
                </c:pt>
                <c:pt idx="34">
                  <c:v>84392.2884962231</c:v>
                </c:pt>
                <c:pt idx="35">
                  <c:v>84755.9147579313</c:v>
                </c:pt>
                <c:pt idx="36">
                  <c:v>85119.5410196395</c:v>
                </c:pt>
                <c:pt idx="37">
                  <c:v>85483.1672813477</c:v>
                </c:pt>
                <c:pt idx="38">
                  <c:v>85846.7935430559</c:v>
                </c:pt>
                <c:pt idx="39">
                  <c:v>86210.4198047641</c:v>
                </c:pt>
                <c:pt idx="40">
                  <c:v>86574.0460664723</c:v>
                </c:pt>
                <c:pt idx="41">
                  <c:v>86937.6723281805</c:v>
                </c:pt>
                <c:pt idx="42">
                  <c:v>87301.2985898887</c:v>
                </c:pt>
                <c:pt idx="43">
                  <c:v>87664.9248515969</c:v>
                </c:pt>
                <c:pt idx="44">
                  <c:v>88028.5511133051</c:v>
                </c:pt>
                <c:pt idx="45">
                  <c:v>88392.1773750133</c:v>
                </c:pt>
                <c:pt idx="46">
                  <c:v>88755.8036367215</c:v>
                </c:pt>
                <c:pt idx="47">
                  <c:v>89119.4298984297</c:v>
                </c:pt>
                <c:pt idx="48">
                  <c:v>89483.0561601379</c:v>
                </c:pt>
                <c:pt idx="49">
                  <c:v>89846.6824218461</c:v>
                </c:pt>
                <c:pt idx="50">
                  <c:v>90210.3086835543</c:v>
                </c:pt>
                <c:pt idx="51">
                  <c:v>90573.9349452624</c:v>
                </c:pt>
                <c:pt idx="52">
                  <c:v>90937.5612069707</c:v>
                </c:pt>
                <c:pt idx="53">
                  <c:v>91301.1874686789</c:v>
                </c:pt>
                <c:pt idx="54">
                  <c:v>91664.8137303871</c:v>
                </c:pt>
                <c:pt idx="55">
                  <c:v>92028.4399920952</c:v>
                </c:pt>
                <c:pt idx="56">
                  <c:v>92392.0662538034</c:v>
                </c:pt>
                <c:pt idx="57">
                  <c:v>92755.6925155117</c:v>
                </c:pt>
                <c:pt idx="58">
                  <c:v>93119.3187772198</c:v>
                </c:pt>
                <c:pt idx="59">
                  <c:v>93482.945038928</c:v>
                </c:pt>
                <c:pt idx="60">
                  <c:v>93846.5713006362</c:v>
                </c:pt>
                <c:pt idx="61">
                  <c:v>94210.1975623444</c:v>
                </c:pt>
                <c:pt idx="62">
                  <c:v>94573.8238240526</c:v>
                </c:pt>
                <c:pt idx="63">
                  <c:v>94937.4500857608</c:v>
                </c:pt>
                <c:pt idx="64">
                  <c:v>95301.076347469</c:v>
                </c:pt>
                <c:pt idx="65">
                  <c:v>95664.7026091772</c:v>
                </c:pt>
                <c:pt idx="66">
                  <c:v>96028.3288708854</c:v>
                </c:pt>
                <c:pt idx="67">
                  <c:v>96391.9551325936</c:v>
                </c:pt>
                <c:pt idx="68">
                  <c:v>96755.5813943018</c:v>
                </c:pt>
                <c:pt idx="69">
                  <c:v>97119.20765601</c:v>
                </c:pt>
                <c:pt idx="70">
                  <c:v>97482.8339177182</c:v>
                </c:pt>
                <c:pt idx="71">
                  <c:v>97846.4601794264</c:v>
                </c:pt>
                <c:pt idx="72">
                  <c:v>98210.0864411346</c:v>
                </c:pt>
                <c:pt idx="73">
                  <c:v>98573.7127028428</c:v>
                </c:pt>
                <c:pt idx="74">
                  <c:v>98937.338964551</c:v>
                </c:pt>
                <c:pt idx="75">
                  <c:v>99300.9652262592</c:v>
                </c:pt>
                <c:pt idx="76">
                  <c:v>99664.5914879674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101482.722796508</c:v>
                </c:pt>
                <c:pt idx="82">
                  <c:v>101846.349058217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8e03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Sheet1!$H$2:$H$101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</c:v>
                </c:pt>
                <c:pt idx="39">
                  <c:v>122213.801111864</c:v>
                </c:pt>
                <c:pt idx="40">
                  <c:v>122577.427373572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</c:v>
                </c:pt>
                <c:pt idx="49">
                  <c:v>125850.063728946</c:v>
                </c:pt>
                <c:pt idx="50">
                  <c:v>126213.689990654</c:v>
                </c:pt>
                <c:pt idx="51">
                  <c:v>126577.316252362</c:v>
                </c:pt>
                <c:pt idx="52">
                  <c:v>126940.942514071</c:v>
                </c:pt>
                <c:pt idx="53">
                  <c:v>127304.568775779</c:v>
                </c:pt>
                <c:pt idx="54">
                  <c:v>127668.195037487</c:v>
                </c:pt>
                <c:pt idx="55">
                  <c:v>128031.821299195</c:v>
                </c:pt>
                <c:pt idx="56">
                  <c:v>128395.447560903</c:v>
                </c:pt>
                <c:pt idx="57">
                  <c:v>128759.073822612</c:v>
                </c:pt>
                <c:pt idx="58">
                  <c:v>129122.70008432</c:v>
                </c:pt>
                <c:pt idx="59">
                  <c:v>129486.326346028</c:v>
                </c:pt>
                <c:pt idx="60">
                  <c:v>129849.952607736</c:v>
                </c:pt>
                <c:pt idx="61">
                  <c:v>130213.578869444</c:v>
                </c:pt>
                <c:pt idx="62">
                  <c:v>130577.205131153</c:v>
                </c:pt>
                <c:pt idx="63">
                  <c:v>130940.831392861</c:v>
                </c:pt>
                <c:pt idx="64">
                  <c:v>131304.457654569</c:v>
                </c:pt>
                <c:pt idx="65">
                  <c:v>131668.083916277</c:v>
                </c:pt>
                <c:pt idx="66">
                  <c:v>132031.710177985</c:v>
                </c:pt>
                <c:pt idx="67">
                  <c:v>132395.336439694</c:v>
                </c:pt>
                <c:pt idx="68">
                  <c:v>132758.962701402</c:v>
                </c:pt>
                <c:pt idx="69">
                  <c:v>133122.58896311</c:v>
                </c:pt>
                <c:pt idx="70">
                  <c:v>133486.215224818</c:v>
                </c:pt>
                <c:pt idx="71">
                  <c:v>133849.841486526</c:v>
                </c:pt>
                <c:pt idx="72">
                  <c:v>134213.467748235</c:v>
                </c:pt>
                <c:pt idx="73">
                  <c:v>134577.094009943</c:v>
                </c:pt>
                <c:pt idx="74">
                  <c:v>134940.720271651</c:v>
                </c:pt>
                <c:pt idx="75">
                  <c:v>135304.346533359</c:v>
                </c:pt>
                <c:pt idx="76">
                  <c:v>135667.972795067</c:v>
                </c:pt>
                <c:pt idx="77">
                  <c:v>136031.599056776</c:v>
                </c:pt>
                <c:pt idx="78">
                  <c:v>136395.225318484</c:v>
                </c:pt>
                <c:pt idx="79">
                  <c:v>136758.851580192</c:v>
                </c:pt>
                <c:pt idx="80">
                  <c:v>137122.4778419</c:v>
                </c:pt>
                <c:pt idx="81">
                  <c:v>137486.104103608</c:v>
                </c:pt>
                <c:pt idx="82">
                  <c:v>137849.730365317</c:v>
                </c:pt>
                <c:pt idx="83">
                  <c:v>138213.356627025</c:v>
                </c:pt>
                <c:pt idx="84">
                  <c:v>138576.982888733</c:v>
                </c:pt>
                <c:pt idx="85">
                  <c:v>138940.609150441</c:v>
                </c:pt>
                <c:pt idx="86">
                  <c:v>139304.235412149</c:v>
                </c:pt>
                <c:pt idx="87">
                  <c:v>139667.861673858</c:v>
                </c:pt>
                <c:pt idx="88">
                  <c:v>140031.487935566</c:v>
                </c:pt>
                <c:pt idx="89">
                  <c:v>140395.114197274</c:v>
                </c:pt>
                <c:pt idx="90">
                  <c:v>140758.740458982</c:v>
                </c:pt>
                <c:pt idx="91">
                  <c:v>141122.36672069</c:v>
                </c:pt>
                <c:pt idx="92">
                  <c:v>141485.992982399</c:v>
                </c:pt>
                <c:pt idx="93">
                  <c:v>141849.619244107</c:v>
                </c:pt>
                <c:pt idx="94">
                  <c:v>142213.245505815</c:v>
                </c:pt>
                <c:pt idx="95">
                  <c:v>142576.871767523</c:v>
                </c:pt>
                <c:pt idx="96">
                  <c:v>142940.498029231</c:v>
                </c:pt>
                <c:pt idx="97">
                  <c:v>143304.12429094</c:v>
                </c:pt>
                <c:pt idx="98">
                  <c:v>143667.750552648</c:v>
                </c:pt>
                <c:pt idx="99">
                  <c:v>144031.376814356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c99c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Sheet1!$J$2:$J$101</c:f>
              <c:numCache>
                <c:formatCode>General</c:formatCode>
                <c:ptCount val="100"/>
                <c:pt idx="0">
                  <c:v>144037.75662434</c:v>
                </c:pt>
                <c:pt idx="1">
                  <c:v>144401.382886048</c:v>
                </c:pt>
                <c:pt idx="2">
                  <c:v>144765.009147756</c:v>
                </c:pt>
                <c:pt idx="3">
                  <c:v>145128.635409465</c:v>
                </c:pt>
                <c:pt idx="4">
                  <c:v>145492.261671173</c:v>
                </c:pt>
                <c:pt idx="5">
                  <c:v>145855.887932881</c:v>
                </c:pt>
                <c:pt idx="6">
                  <c:v>146219.514194589</c:v>
                </c:pt>
                <c:pt idx="7">
                  <c:v>146583.140456297</c:v>
                </c:pt>
                <c:pt idx="8">
                  <c:v>146946.766718006</c:v>
                </c:pt>
                <c:pt idx="9">
                  <c:v>147310.392979714</c:v>
                </c:pt>
                <c:pt idx="10">
                  <c:v>147674.019241422</c:v>
                </c:pt>
                <c:pt idx="11">
                  <c:v>148037.64550313</c:v>
                </c:pt>
                <c:pt idx="12">
                  <c:v>148401.271764838</c:v>
                </c:pt>
                <c:pt idx="13">
                  <c:v>148764.898026547</c:v>
                </c:pt>
                <c:pt idx="14">
                  <c:v>149128.524288255</c:v>
                </c:pt>
                <c:pt idx="15">
                  <c:v>149492.150549963</c:v>
                </c:pt>
                <c:pt idx="16">
                  <c:v>149855.776811671</c:v>
                </c:pt>
                <c:pt idx="17">
                  <c:v>150219.403073379</c:v>
                </c:pt>
                <c:pt idx="18">
                  <c:v>150583.029335087</c:v>
                </c:pt>
                <c:pt idx="19">
                  <c:v>150946.655596796</c:v>
                </c:pt>
                <c:pt idx="20">
                  <c:v>151310.281858504</c:v>
                </c:pt>
                <c:pt idx="21">
                  <c:v>151673.908120212</c:v>
                </c:pt>
                <c:pt idx="22">
                  <c:v>152037.53438192</c:v>
                </c:pt>
                <c:pt idx="23">
                  <c:v>152401.160643628</c:v>
                </c:pt>
                <c:pt idx="24">
                  <c:v>152764.786905337</c:v>
                </c:pt>
                <c:pt idx="25">
                  <c:v>153128.413167045</c:v>
                </c:pt>
                <c:pt idx="26">
                  <c:v>153492.039428753</c:v>
                </c:pt>
                <c:pt idx="27">
                  <c:v>153855.665690461</c:v>
                </c:pt>
                <c:pt idx="28">
                  <c:v>154219.291952169</c:v>
                </c:pt>
                <c:pt idx="29">
                  <c:v>154582.918213878</c:v>
                </c:pt>
                <c:pt idx="30">
                  <c:v>154946.544475586</c:v>
                </c:pt>
                <c:pt idx="31">
                  <c:v>155310.170737294</c:v>
                </c:pt>
                <c:pt idx="32">
                  <c:v>155673.796999002</c:v>
                </c:pt>
                <c:pt idx="33">
                  <c:v>156037.42326071</c:v>
                </c:pt>
                <c:pt idx="34">
                  <c:v>156401.049522419</c:v>
                </c:pt>
                <c:pt idx="35">
                  <c:v>156764.675784127</c:v>
                </c:pt>
                <c:pt idx="36">
                  <c:v>157128.302045835</c:v>
                </c:pt>
                <c:pt idx="37">
                  <c:v>157491.928307543</c:v>
                </c:pt>
                <c:pt idx="38">
                  <c:v>157855.554569251</c:v>
                </c:pt>
                <c:pt idx="39">
                  <c:v>158219.18083096</c:v>
                </c:pt>
                <c:pt idx="40">
                  <c:v>158582.807092668</c:v>
                </c:pt>
                <c:pt idx="41">
                  <c:v>158946.433354376</c:v>
                </c:pt>
                <c:pt idx="42">
                  <c:v>159310.059616084</c:v>
                </c:pt>
                <c:pt idx="43">
                  <c:v>159673.685877792</c:v>
                </c:pt>
                <c:pt idx="44">
                  <c:v>160037.3121395</c:v>
                </c:pt>
                <c:pt idx="45">
                  <c:v>160400.938401209</c:v>
                </c:pt>
                <c:pt idx="46">
                  <c:v>160764.564662917</c:v>
                </c:pt>
                <c:pt idx="47">
                  <c:v>161128.190924625</c:v>
                </c:pt>
                <c:pt idx="48">
                  <c:v>161491.817186333</c:v>
                </c:pt>
                <c:pt idx="49">
                  <c:v>161855.443448041</c:v>
                </c:pt>
                <c:pt idx="50">
                  <c:v>162219.06970975</c:v>
                </c:pt>
                <c:pt idx="51">
                  <c:v>162582.695971458</c:v>
                </c:pt>
                <c:pt idx="52">
                  <c:v>162946.322233166</c:v>
                </c:pt>
                <c:pt idx="53">
                  <c:v>163309.948494874</c:v>
                </c:pt>
                <c:pt idx="54">
                  <c:v>163673.574756582</c:v>
                </c:pt>
                <c:pt idx="55">
                  <c:v>164037.201018291</c:v>
                </c:pt>
                <c:pt idx="56">
                  <c:v>164400.827279999</c:v>
                </c:pt>
                <c:pt idx="57">
                  <c:v>164764.453541707</c:v>
                </c:pt>
                <c:pt idx="58">
                  <c:v>165128.079803415</c:v>
                </c:pt>
                <c:pt idx="59">
                  <c:v>165491.706065123</c:v>
                </c:pt>
                <c:pt idx="60">
                  <c:v>165855.332326832</c:v>
                </c:pt>
                <c:pt idx="61">
                  <c:v>166218.95858854</c:v>
                </c:pt>
                <c:pt idx="62">
                  <c:v>166582.584850248</c:v>
                </c:pt>
                <c:pt idx="63">
                  <c:v>166946.211111956</c:v>
                </c:pt>
                <c:pt idx="64">
                  <c:v>167309.837373664</c:v>
                </c:pt>
                <c:pt idx="65">
                  <c:v>167673.463635372</c:v>
                </c:pt>
                <c:pt idx="66">
                  <c:v>168037.089897081</c:v>
                </c:pt>
                <c:pt idx="67">
                  <c:v>168400.716158789</c:v>
                </c:pt>
                <c:pt idx="68">
                  <c:v>168764.342420497</c:v>
                </c:pt>
                <c:pt idx="69">
                  <c:v>169127.968682205</c:v>
                </c:pt>
                <c:pt idx="70">
                  <c:v>169491.594943913</c:v>
                </c:pt>
                <c:pt idx="71">
                  <c:v>169855.221205622</c:v>
                </c:pt>
                <c:pt idx="72">
                  <c:v>170218.84746733</c:v>
                </c:pt>
                <c:pt idx="73">
                  <c:v>170582.473729038</c:v>
                </c:pt>
                <c:pt idx="74">
                  <c:v>170946.099990746</c:v>
                </c:pt>
                <c:pt idx="75">
                  <c:v>171309.726252454</c:v>
                </c:pt>
                <c:pt idx="76">
                  <c:v>171673.352514163</c:v>
                </c:pt>
                <c:pt idx="77">
                  <c:v>172036.978775871</c:v>
                </c:pt>
                <c:pt idx="78">
                  <c:v>172400.605037579</c:v>
                </c:pt>
                <c:pt idx="79">
                  <c:v>172764.231299287</c:v>
                </c:pt>
                <c:pt idx="80">
                  <c:v>173127.857560995</c:v>
                </c:pt>
                <c:pt idx="81">
                  <c:v>173491.483822704</c:v>
                </c:pt>
                <c:pt idx="82">
                  <c:v>173855.110084412</c:v>
                </c:pt>
                <c:pt idx="83">
                  <c:v>174218.73634612</c:v>
                </c:pt>
                <c:pt idx="84">
                  <c:v>174582.362607828</c:v>
                </c:pt>
                <c:pt idx="85">
                  <c:v>174945.988869536</c:v>
                </c:pt>
                <c:pt idx="86">
                  <c:v>175309.615131245</c:v>
                </c:pt>
                <c:pt idx="87">
                  <c:v>175673.241392953</c:v>
                </c:pt>
                <c:pt idx="88">
                  <c:v>176036.867654661</c:v>
                </c:pt>
                <c:pt idx="89">
                  <c:v>176400.493916369</c:v>
                </c:pt>
                <c:pt idx="90">
                  <c:v>176764.120178077</c:v>
                </c:pt>
                <c:pt idx="91">
                  <c:v>177127.746439785</c:v>
                </c:pt>
                <c:pt idx="92">
                  <c:v>177491.372701494</c:v>
                </c:pt>
                <c:pt idx="93">
                  <c:v>177854.998963202</c:v>
                </c:pt>
                <c:pt idx="94">
                  <c:v>178218.62522491</c:v>
                </c:pt>
                <c:pt idx="95">
                  <c:v>178582.251486618</c:v>
                </c:pt>
                <c:pt idx="96">
                  <c:v>178945.877748326</c:v>
                </c:pt>
                <c:pt idx="97">
                  <c:v>179309.504010035</c:v>
                </c:pt>
                <c:pt idx="98">
                  <c:v>179673.130271743</c:v>
                </c:pt>
                <c:pt idx="99">
                  <c:v>180036.756533451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9211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Sheet1!$L$2:$L$101</c:f>
              <c:numCache>
                <c:formatCode>General</c:formatCode>
                <c:ptCount val="100"/>
                <c:pt idx="0">
                  <c:v>180041.14793244</c:v>
                </c:pt>
                <c:pt idx="1">
                  <c:v>180404.774194148</c:v>
                </c:pt>
                <c:pt idx="2">
                  <c:v>180768.400455856</c:v>
                </c:pt>
                <c:pt idx="3">
                  <c:v>181132.026717565</c:v>
                </c:pt>
                <c:pt idx="4">
                  <c:v>181495.652979273</c:v>
                </c:pt>
                <c:pt idx="5">
                  <c:v>181859.279240981</c:v>
                </c:pt>
                <c:pt idx="6">
                  <c:v>182222.905502689</c:v>
                </c:pt>
                <c:pt idx="7">
                  <c:v>182586.531764397</c:v>
                </c:pt>
                <c:pt idx="8">
                  <c:v>182950.158026106</c:v>
                </c:pt>
                <c:pt idx="9">
                  <c:v>183313.784287814</c:v>
                </c:pt>
                <c:pt idx="10">
                  <c:v>183677.410549522</c:v>
                </c:pt>
                <c:pt idx="11">
                  <c:v>184041.03681123</c:v>
                </c:pt>
                <c:pt idx="12">
                  <c:v>184404.663072938</c:v>
                </c:pt>
                <c:pt idx="13">
                  <c:v>184768.289334647</c:v>
                </c:pt>
                <c:pt idx="14">
                  <c:v>185131.915596355</c:v>
                </c:pt>
                <c:pt idx="15">
                  <c:v>185495.541858063</c:v>
                </c:pt>
                <c:pt idx="16">
                  <c:v>185859.168119771</c:v>
                </c:pt>
                <c:pt idx="17">
                  <c:v>186222.794381479</c:v>
                </c:pt>
                <c:pt idx="18">
                  <c:v>186586.420643187</c:v>
                </c:pt>
                <c:pt idx="19">
                  <c:v>186950.046904896</c:v>
                </c:pt>
                <c:pt idx="20">
                  <c:v>187313.673166604</c:v>
                </c:pt>
                <c:pt idx="21">
                  <c:v>187677.299428312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</c:v>
                </c:pt>
                <c:pt idx="26">
                  <c:v>189495.430736853</c:v>
                </c:pt>
                <c:pt idx="27">
                  <c:v>189859.056998561</c:v>
                </c:pt>
                <c:pt idx="28">
                  <c:v>190222.683260269</c:v>
                </c:pt>
                <c:pt idx="29">
                  <c:v>190586.309521978</c:v>
                </c:pt>
                <c:pt idx="30">
                  <c:v>190949.935783686</c:v>
                </c:pt>
                <c:pt idx="31">
                  <c:v>191313.562045394</c:v>
                </c:pt>
                <c:pt idx="32">
                  <c:v>191677.188307102</c:v>
                </c:pt>
                <c:pt idx="33">
                  <c:v>192040.81456881</c:v>
                </c:pt>
                <c:pt idx="34">
                  <c:v>192404.440830519</c:v>
                </c:pt>
                <c:pt idx="35">
                  <c:v>192768.067092227</c:v>
                </c:pt>
                <c:pt idx="36">
                  <c:v>193131.693353935</c:v>
                </c:pt>
                <c:pt idx="37">
                  <c:v>193495.319615643</c:v>
                </c:pt>
                <c:pt idx="38">
                  <c:v>193858.945877351</c:v>
                </c:pt>
                <c:pt idx="39">
                  <c:v>194222.572139059</c:v>
                </c:pt>
                <c:pt idx="40">
                  <c:v>194586.198400768</c:v>
                </c:pt>
                <c:pt idx="41">
                  <c:v>194949.824662476</c:v>
                </c:pt>
                <c:pt idx="42">
                  <c:v>195313.450924184</c:v>
                </c:pt>
                <c:pt idx="43">
                  <c:v>195677.077185892</c:v>
                </c:pt>
                <c:pt idx="44">
                  <c:v>196040.7034476</c:v>
                </c:pt>
                <c:pt idx="45">
                  <c:v>196404.329709309</c:v>
                </c:pt>
                <c:pt idx="46">
                  <c:v>196767.955971017</c:v>
                </c:pt>
                <c:pt idx="47">
                  <c:v>197131.582232725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</c:v>
                </c:pt>
                <c:pt idx="52">
                  <c:v>198949.713541266</c:v>
                </c:pt>
                <c:pt idx="53">
                  <c:v>199313.339802974</c:v>
                </c:pt>
                <c:pt idx="54">
                  <c:v>199676.966064682</c:v>
                </c:pt>
                <c:pt idx="55">
                  <c:v>200040.592326391</c:v>
                </c:pt>
                <c:pt idx="56">
                  <c:v>200404.218588099</c:v>
                </c:pt>
                <c:pt idx="57">
                  <c:v>200767.844849807</c:v>
                </c:pt>
                <c:pt idx="58">
                  <c:v>201131.471111515</c:v>
                </c:pt>
                <c:pt idx="59">
                  <c:v>201495.097373223</c:v>
                </c:pt>
                <c:pt idx="60">
                  <c:v>201858.723634932</c:v>
                </c:pt>
                <c:pt idx="61">
                  <c:v>202222.34989664</c:v>
                </c:pt>
                <c:pt idx="62">
                  <c:v>202585.976158348</c:v>
                </c:pt>
                <c:pt idx="63">
                  <c:v>202949.602420056</c:v>
                </c:pt>
                <c:pt idx="64">
                  <c:v>203313.228681764</c:v>
                </c:pt>
                <c:pt idx="65">
                  <c:v>203676.854943472</c:v>
                </c:pt>
                <c:pt idx="66">
                  <c:v>204040.481205181</c:v>
                </c:pt>
                <c:pt idx="67">
                  <c:v>204404.107466889</c:v>
                </c:pt>
                <c:pt idx="68">
                  <c:v>204767.733728597</c:v>
                </c:pt>
                <c:pt idx="69">
                  <c:v>205131.359990305</c:v>
                </c:pt>
                <c:pt idx="70">
                  <c:v>205494.986252013</c:v>
                </c:pt>
                <c:pt idx="71">
                  <c:v>205858.612513722</c:v>
                </c:pt>
                <c:pt idx="72">
                  <c:v>206222.23877543</c:v>
                </c:pt>
                <c:pt idx="73">
                  <c:v>206585.865037138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</c:v>
                </c:pt>
                <c:pt idx="78">
                  <c:v>208403.996345679</c:v>
                </c:pt>
                <c:pt idx="79">
                  <c:v>208767.622607387</c:v>
                </c:pt>
                <c:pt idx="80">
                  <c:v>209131.248869095</c:v>
                </c:pt>
                <c:pt idx="81">
                  <c:v>209494.875130804</c:v>
                </c:pt>
                <c:pt idx="82">
                  <c:v>209858.501392512</c:v>
                </c:pt>
                <c:pt idx="83">
                  <c:v>210222.12765422</c:v>
                </c:pt>
                <c:pt idx="84">
                  <c:v>210585.753915928</c:v>
                </c:pt>
                <c:pt idx="85">
                  <c:v>210949.380177636</c:v>
                </c:pt>
                <c:pt idx="86">
                  <c:v>211313.006439345</c:v>
                </c:pt>
                <c:pt idx="87">
                  <c:v>211676.632701053</c:v>
                </c:pt>
                <c:pt idx="88">
                  <c:v>212040.258962761</c:v>
                </c:pt>
                <c:pt idx="89">
                  <c:v>212403.885224469</c:v>
                </c:pt>
                <c:pt idx="90">
                  <c:v>212767.511486177</c:v>
                </c:pt>
                <c:pt idx="91">
                  <c:v>213131.137747885</c:v>
                </c:pt>
                <c:pt idx="92">
                  <c:v>213494.764009594</c:v>
                </c:pt>
                <c:pt idx="93">
                  <c:v>213858.390271302</c:v>
                </c:pt>
                <c:pt idx="94">
                  <c:v>214222.01653301</c:v>
                </c:pt>
                <c:pt idx="95">
                  <c:v>214585.642794718</c:v>
                </c:pt>
                <c:pt idx="96">
                  <c:v>214949.269056426</c:v>
                </c:pt>
                <c:pt idx="97">
                  <c:v>215312.895318135</c:v>
                </c:pt>
                <c:pt idx="98">
                  <c:v>215676.521579843</c:v>
                </c:pt>
                <c:pt idx="99">
                  <c:v>216040.147841551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0e62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Sheet1!$N$2:$N$101</c:f>
              <c:numCache>
                <c:formatCode>General</c:formatCode>
                <c:ptCount val="100"/>
                <c:pt idx="0">
                  <c:v>216046.546658535</c:v>
                </c:pt>
                <c:pt idx="1">
                  <c:v>216410.172920243</c:v>
                </c:pt>
                <c:pt idx="2">
                  <c:v>216773.799181951</c:v>
                </c:pt>
                <c:pt idx="3">
                  <c:v>217137.42544366</c:v>
                </c:pt>
                <c:pt idx="4">
                  <c:v>217501.051705368</c:v>
                </c:pt>
                <c:pt idx="5">
                  <c:v>217864.677967076</c:v>
                </c:pt>
                <c:pt idx="6">
                  <c:v>218228.304228784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</c:v>
                </c:pt>
                <c:pt idx="11">
                  <c:v>220046.435537325</c:v>
                </c:pt>
                <c:pt idx="12">
                  <c:v>220410.061799033</c:v>
                </c:pt>
                <c:pt idx="13">
                  <c:v>220773.688060742</c:v>
                </c:pt>
                <c:pt idx="14">
                  <c:v>221137.31432245</c:v>
                </c:pt>
                <c:pt idx="15">
                  <c:v>221500.940584158</c:v>
                </c:pt>
                <c:pt idx="16">
                  <c:v>221864.566845866</c:v>
                </c:pt>
                <c:pt idx="17">
                  <c:v>222228.193107574</c:v>
                </c:pt>
                <c:pt idx="18">
                  <c:v>222591.819369282</c:v>
                </c:pt>
                <c:pt idx="19">
                  <c:v>222955.445630991</c:v>
                </c:pt>
                <c:pt idx="20">
                  <c:v>223319.071892699</c:v>
                </c:pt>
                <c:pt idx="21">
                  <c:v>223682.698154407</c:v>
                </c:pt>
                <c:pt idx="22">
                  <c:v>224046.324416115</c:v>
                </c:pt>
                <c:pt idx="23">
                  <c:v>224409.950677823</c:v>
                </c:pt>
                <c:pt idx="24">
                  <c:v>224773.576939532</c:v>
                </c:pt>
                <c:pt idx="25">
                  <c:v>225137.20320124</c:v>
                </c:pt>
                <c:pt idx="26">
                  <c:v>225500.829462948</c:v>
                </c:pt>
                <c:pt idx="27">
                  <c:v>225864.455724656</c:v>
                </c:pt>
                <c:pt idx="28">
                  <c:v>226228.081986364</c:v>
                </c:pt>
                <c:pt idx="29">
                  <c:v>226591.708248073</c:v>
                </c:pt>
                <c:pt idx="30">
                  <c:v>226955.334509781</c:v>
                </c:pt>
                <c:pt idx="31">
                  <c:v>227318.960771489</c:v>
                </c:pt>
                <c:pt idx="32">
                  <c:v>227682.587033197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</c:v>
                </c:pt>
                <c:pt idx="37">
                  <c:v>229500.718341738</c:v>
                </c:pt>
                <c:pt idx="38">
                  <c:v>229864.344603446</c:v>
                </c:pt>
                <c:pt idx="39">
                  <c:v>230227.970865155</c:v>
                </c:pt>
                <c:pt idx="40">
                  <c:v>230591.597126863</c:v>
                </c:pt>
                <c:pt idx="41">
                  <c:v>230955.223388571</c:v>
                </c:pt>
                <c:pt idx="42">
                  <c:v>231318.849650279</c:v>
                </c:pt>
                <c:pt idx="43">
                  <c:v>231682.475911987</c:v>
                </c:pt>
                <c:pt idx="44">
                  <c:v>232046.102173695</c:v>
                </c:pt>
                <c:pt idx="45">
                  <c:v>232409.728435404</c:v>
                </c:pt>
                <c:pt idx="46">
                  <c:v>232773.354697112</c:v>
                </c:pt>
                <c:pt idx="47">
                  <c:v>233136.98095882</c:v>
                </c:pt>
                <c:pt idx="48">
                  <c:v>233500.607220528</c:v>
                </c:pt>
                <c:pt idx="49">
                  <c:v>233864.233482236</c:v>
                </c:pt>
                <c:pt idx="50">
                  <c:v>234227.859743945</c:v>
                </c:pt>
                <c:pt idx="51">
                  <c:v>234591.486005653</c:v>
                </c:pt>
                <c:pt idx="52">
                  <c:v>234955.112267361</c:v>
                </c:pt>
                <c:pt idx="53">
                  <c:v>235318.738529069</c:v>
                </c:pt>
                <c:pt idx="54">
                  <c:v>235682.364790777</c:v>
                </c:pt>
                <c:pt idx="55">
                  <c:v>236045.991052486</c:v>
                </c:pt>
                <c:pt idx="56">
                  <c:v>236409.617314194</c:v>
                </c:pt>
                <c:pt idx="57">
                  <c:v>236773.243575902</c:v>
                </c:pt>
                <c:pt idx="58">
                  <c:v>237136.86983761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</c:v>
                </c:pt>
                <c:pt idx="63">
                  <c:v>238955.001146151</c:v>
                </c:pt>
                <c:pt idx="64">
                  <c:v>239318.627407859</c:v>
                </c:pt>
                <c:pt idx="65">
                  <c:v>239682.253669567</c:v>
                </c:pt>
                <c:pt idx="66">
                  <c:v>240045.879931276</c:v>
                </c:pt>
                <c:pt idx="67">
                  <c:v>240409.506192984</c:v>
                </c:pt>
                <c:pt idx="68">
                  <c:v>240773.132454692</c:v>
                </c:pt>
                <c:pt idx="69">
                  <c:v>241136.7587164</c:v>
                </c:pt>
                <c:pt idx="70">
                  <c:v>241500.384978108</c:v>
                </c:pt>
                <c:pt idx="71">
                  <c:v>241864.011239817</c:v>
                </c:pt>
                <c:pt idx="72">
                  <c:v>242227.637501525</c:v>
                </c:pt>
                <c:pt idx="73">
                  <c:v>242591.263763233</c:v>
                </c:pt>
                <c:pt idx="74">
                  <c:v>242954.890024941</c:v>
                </c:pt>
                <c:pt idx="75">
                  <c:v>243318.516286649</c:v>
                </c:pt>
                <c:pt idx="76">
                  <c:v>243682.142548358</c:v>
                </c:pt>
                <c:pt idx="77">
                  <c:v>244045.768810066</c:v>
                </c:pt>
                <c:pt idx="78">
                  <c:v>244409.395071774</c:v>
                </c:pt>
                <c:pt idx="79">
                  <c:v>244773.021333482</c:v>
                </c:pt>
                <c:pt idx="80">
                  <c:v>245136.64759519</c:v>
                </c:pt>
                <c:pt idx="81">
                  <c:v>245500.273856899</c:v>
                </c:pt>
                <c:pt idx="82">
                  <c:v>245863.900118607</c:v>
                </c:pt>
                <c:pt idx="83">
                  <c:v>246227.526380315</c:v>
                </c:pt>
                <c:pt idx="84">
                  <c:v>246591.152642023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</c:v>
                </c:pt>
                <c:pt idx="89">
                  <c:v>248409.283950564</c:v>
                </c:pt>
                <c:pt idx="90">
                  <c:v>248772.910212272</c:v>
                </c:pt>
                <c:pt idx="91">
                  <c:v>249136.53647398</c:v>
                </c:pt>
                <c:pt idx="92">
                  <c:v>249500.162735689</c:v>
                </c:pt>
                <c:pt idx="93">
                  <c:v>249863.788997397</c:v>
                </c:pt>
                <c:pt idx="94">
                  <c:v>250227.415259105</c:v>
                </c:pt>
                <c:pt idx="95">
                  <c:v>250591.041520813</c:v>
                </c:pt>
                <c:pt idx="96">
                  <c:v>250954.667782521</c:v>
                </c:pt>
                <c:pt idx="97">
                  <c:v>251318.29404423</c:v>
                </c:pt>
                <c:pt idx="98">
                  <c:v>251681.920305938</c:v>
                </c:pt>
                <c:pt idx="99">
                  <c:v>252045.546567646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23f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Sheet1!$P$2:$P$101</c:f>
              <c:numCache>
                <c:formatCode>General</c:formatCode>
                <c:ptCount val="100"/>
                <c:pt idx="0">
                  <c:v>252049.973967635</c:v>
                </c:pt>
                <c:pt idx="1">
                  <c:v>252413.600229343</c:v>
                </c:pt>
                <c:pt idx="2">
                  <c:v>252777.226491051</c:v>
                </c:pt>
                <c:pt idx="3">
                  <c:v>253140.85275276</c:v>
                </c:pt>
                <c:pt idx="4">
                  <c:v>253504.479014468</c:v>
                </c:pt>
                <c:pt idx="5">
                  <c:v>253868.105276176</c:v>
                </c:pt>
                <c:pt idx="6">
                  <c:v>254231.731537884</c:v>
                </c:pt>
                <c:pt idx="7">
                  <c:v>254595.357799592</c:v>
                </c:pt>
                <c:pt idx="8">
                  <c:v>254958.984061301</c:v>
                </c:pt>
                <c:pt idx="9">
                  <c:v>255322.610323009</c:v>
                </c:pt>
                <c:pt idx="10">
                  <c:v>255686.236584717</c:v>
                </c:pt>
                <c:pt idx="11">
                  <c:v>256049.862846425</c:v>
                </c:pt>
                <c:pt idx="12">
                  <c:v>256413.489108133</c:v>
                </c:pt>
                <c:pt idx="13">
                  <c:v>256777.115369842</c:v>
                </c:pt>
                <c:pt idx="14">
                  <c:v>257140.74163155</c:v>
                </c:pt>
                <c:pt idx="15">
                  <c:v>257504.367893258</c:v>
                </c:pt>
                <c:pt idx="16">
                  <c:v>257867.994154966</c:v>
                </c:pt>
                <c:pt idx="17">
                  <c:v>258231.620416674</c:v>
                </c:pt>
                <c:pt idx="18">
                  <c:v>258595.246678382</c:v>
                </c:pt>
                <c:pt idx="19">
                  <c:v>258958.872940091</c:v>
                </c:pt>
                <c:pt idx="20">
                  <c:v>259322.499201799</c:v>
                </c:pt>
                <c:pt idx="21">
                  <c:v>259686.125463507</c:v>
                </c:pt>
                <c:pt idx="22">
                  <c:v>260049.751725215</c:v>
                </c:pt>
                <c:pt idx="23">
                  <c:v>260413.377986923</c:v>
                </c:pt>
                <c:pt idx="24">
                  <c:v>260777.004248632</c:v>
                </c:pt>
                <c:pt idx="25">
                  <c:v>261140.63051034</c:v>
                </c:pt>
                <c:pt idx="26">
                  <c:v>261504.256772048</c:v>
                </c:pt>
                <c:pt idx="27">
                  <c:v>261867.883033756</c:v>
                </c:pt>
                <c:pt idx="28">
                  <c:v>262231.509295464</c:v>
                </c:pt>
                <c:pt idx="29">
                  <c:v>262595.135557173</c:v>
                </c:pt>
                <c:pt idx="30">
                  <c:v>262958.761818881</c:v>
                </c:pt>
                <c:pt idx="31">
                  <c:v>263322.388080589</c:v>
                </c:pt>
                <c:pt idx="32">
                  <c:v>263686.014342297</c:v>
                </c:pt>
                <c:pt idx="33">
                  <c:v>264049.640604005</c:v>
                </c:pt>
                <c:pt idx="34">
                  <c:v>264413.266865714</c:v>
                </c:pt>
                <c:pt idx="35">
                  <c:v>264776.893127422</c:v>
                </c:pt>
                <c:pt idx="36">
                  <c:v>265140.51938913</c:v>
                </c:pt>
                <c:pt idx="37">
                  <c:v>265504.145650838</c:v>
                </c:pt>
                <c:pt idx="38">
                  <c:v>265867.771912546</c:v>
                </c:pt>
                <c:pt idx="39">
                  <c:v>266231.398174254</c:v>
                </c:pt>
                <c:pt idx="40">
                  <c:v>266595.024435963</c:v>
                </c:pt>
                <c:pt idx="41">
                  <c:v>266958.650697671</c:v>
                </c:pt>
                <c:pt idx="42">
                  <c:v>267322.276959379</c:v>
                </c:pt>
                <c:pt idx="43">
                  <c:v>267685.903221087</c:v>
                </c:pt>
                <c:pt idx="44">
                  <c:v>268049.529482795</c:v>
                </c:pt>
                <c:pt idx="45">
                  <c:v>268413.155744504</c:v>
                </c:pt>
                <c:pt idx="46">
                  <c:v>268776.782006212</c:v>
                </c:pt>
                <c:pt idx="47">
                  <c:v>269140.40826792</c:v>
                </c:pt>
                <c:pt idx="48">
                  <c:v>269504.034529628</c:v>
                </c:pt>
                <c:pt idx="49">
                  <c:v>269867.660791336</c:v>
                </c:pt>
                <c:pt idx="50">
                  <c:v>270231.287053045</c:v>
                </c:pt>
                <c:pt idx="51">
                  <c:v>270594.913314753</c:v>
                </c:pt>
                <c:pt idx="52">
                  <c:v>270958.539576461</c:v>
                </c:pt>
                <c:pt idx="53">
                  <c:v>271322.165838169</c:v>
                </c:pt>
                <c:pt idx="54">
                  <c:v>271685.792099877</c:v>
                </c:pt>
                <c:pt idx="55">
                  <c:v>272049.418361586</c:v>
                </c:pt>
                <c:pt idx="56">
                  <c:v>272413.044623294</c:v>
                </c:pt>
                <c:pt idx="57">
                  <c:v>272776.670885002</c:v>
                </c:pt>
                <c:pt idx="58">
                  <c:v>273140.29714671</c:v>
                </c:pt>
                <c:pt idx="59">
                  <c:v>273503.923408418</c:v>
                </c:pt>
                <c:pt idx="60">
                  <c:v>273867.549670127</c:v>
                </c:pt>
                <c:pt idx="61">
                  <c:v>274231.175931835</c:v>
                </c:pt>
                <c:pt idx="62">
                  <c:v>274594.802193543</c:v>
                </c:pt>
                <c:pt idx="63">
                  <c:v>274958.428455251</c:v>
                </c:pt>
                <c:pt idx="64">
                  <c:v>275322.054716959</c:v>
                </c:pt>
                <c:pt idx="65">
                  <c:v>275685.680978667</c:v>
                </c:pt>
                <c:pt idx="66">
                  <c:v>276049.307240376</c:v>
                </c:pt>
                <c:pt idx="67">
                  <c:v>276412.933502084</c:v>
                </c:pt>
                <c:pt idx="68">
                  <c:v>276776.559763792</c:v>
                </c:pt>
                <c:pt idx="69">
                  <c:v>277140.1860255</c:v>
                </c:pt>
                <c:pt idx="70">
                  <c:v>277503.812287208</c:v>
                </c:pt>
                <c:pt idx="71">
                  <c:v>277867.438548917</c:v>
                </c:pt>
                <c:pt idx="72">
                  <c:v>278231.064810625</c:v>
                </c:pt>
                <c:pt idx="73">
                  <c:v>278594.691072333</c:v>
                </c:pt>
                <c:pt idx="74">
                  <c:v>278958.317334041</c:v>
                </c:pt>
                <c:pt idx="75">
                  <c:v>279321.943595749</c:v>
                </c:pt>
                <c:pt idx="76">
                  <c:v>279685.569857458</c:v>
                </c:pt>
                <c:pt idx="77">
                  <c:v>280049.196119166</c:v>
                </c:pt>
                <c:pt idx="78">
                  <c:v>280412.822380874</c:v>
                </c:pt>
                <c:pt idx="79">
                  <c:v>280776.448642582</c:v>
                </c:pt>
                <c:pt idx="80">
                  <c:v>281140.07490429</c:v>
                </c:pt>
                <c:pt idx="81">
                  <c:v>281503.701165999</c:v>
                </c:pt>
                <c:pt idx="82">
                  <c:v>281867.327427707</c:v>
                </c:pt>
                <c:pt idx="83">
                  <c:v>282230.953689415</c:v>
                </c:pt>
                <c:pt idx="84">
                  <c:v>282594.579951123</c:v>
                </c:pt>
                <c:pt idx="85">
                  <c:v>282958.206212831</c:v>
                </c:pt>
                <c:pt idx="86">
                  <c:v>283321.83247454</c:v>
                </c:pt>
                <c:pt idx="87">
                  <c:v>283685.458736248</c:v>
                </c:pt>
                <c:pt idx="88">
                  <c:v>284049.084997956</c:v>
                </c:pt>
                <c:pt idx="89">
                  <c:v>284412.711259664</c:v>
                </c:pt>
                <c:pt idx="90">
                  <c:v>284776.337521372</c:v>
                </c:pt>
                <c:pt idx="91">
                  <c:v>285139.96378308</c:v>
                </c:pt>
                <c:pt idx="92">
                  <c:v>285503.590044789</c:v>
                </c:pt>
                <c:pt idx="93">
                  <c:v>285867.216306497</c:v>
                </c:pt>
                <c:pt idx="94">
                  <c:v>286230.842568205</c:v>
                </c:pt>
                <c:pt idx="95">
                  <c:v>286594.468829913</c:v>
                </c:pt>
                <c:pt idx="96">
                  <c:v>286958.095091621</c:v>
                </c:pt>
                <c:pt idx="97">
                  <c:v>287321.72135333</c:v>
                </c:pt>
                <c:pt idx="98">
                  <c:v>287685.347615038</c:v>
                </c:pt>
                <c:pt idx="99">
                  <c:v>288048.973876746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6225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Sheet1!$R$2:$R$101</c:f>
              <c:numCache>
                <c:formatCode>General</c:formatCode>
                <c:ptCount val="100"/>
                <c:pt idx="0">
                  <c:v>288055.55969673</c:v>
                </c:pt>
                <c:pt idx="1">
                  <c:v>288419.185958438</c:v>
                </c:pt>
                <c:pt idx="2">
                  <c:v>288782.812220146</c:v>
                </c:pt>
                <c:pt idx="3">
                  <c:v>289146.438481855</c:v>
                </c:pt>
                <c:pt idx="4">
                  <c:v>289510.064743563</c:v>
                </c:pt>
                <c:pt idx="5">
                  <c:v>289873.691005271</c:v>
                </c:pt>
                <c:pt idx="6">
                  <c:v>290237.317266979</c:v>
                </c:pt>
                <c:pt idx="7">
                  <c:v>290600.943528687</c:v>
                </c:pt>
                <c:pt idx="8">
                  <c:v>290964.569790396</c:v>
                </c:pt>
                <c:pt idx="9">
                  <c:v>291328.196052104</c:v>
                </c:pt>
                <c:pt idx="10">
                  <c:v>291691.822313812</c:v>
                </c:pt>
                <c:pt idx="11">
                  <c:v>292055.44857552</c:v>
                </c:pt>
                <c:pt idx="12">
                  <c:v>292419.074837228</c:v>
                </c:pt>
                <c:pt idx="13">
                  <c:v>292782.701098937</c:v>
                </c:pt>
                <c:pt idx="14">
                  <c:v>293146.327360645</c:v>
                </c:pt>
                <c:pt idx="15">
                  <c:v>293509.953622353</c:v>
                </c:pt>
                <c:pt idx="16">
                  <c:v>293873.579884061</c:v>
                </c:pt>
                <c:pt idx="17">
                  <c:v>294237.206145769</c:v>
                </c:pt>
                <c:pt idx="18">
                  <c:v>294600.832407477</c:v>
                </c:pt>
                <c:pt idx="19">
                  <c:v>294964.458669186</c:v>
                </c:pt>
                <c:pt idx="20">
                  <c:v>295328.084930894</c:v>
                </c:pt>
                <c:pt idx="21">
                  <c:v>295691.711192602</c:v>
                </c:pt>
                <c:pt idx="22">
                  <c:v>296055.33745431</c:v>
                </c:pt>
                <c:pt idx="23">
                  <c:v>296418.963716018</c:v>
                </c:pt>
                <c:pt idx="24">
                  <c:v>296782.589977727</c:v>
                </c:pt>
                <c:pt idx="25">
                  <c:v>297146.216239435</c:v>
                </c:pt>
                <c:pt idx="26">
                  <c:v>297509.842501143</c:v>
                </c:pt>
                <c:pt idx="27">
                  <c:v>297873.468762851</c:v>
                </c:pt>
                <c:pt idx="28">
                  <c:v>298237.095024559</c:v>
                </c:pt>
                <c:pt idx="29">
                  <c:v>298600.721286268</c:v>
                </c:pt>
                <c:pt idx="30">
                  <c:v>298964.347547976</c:v>
                </c:pt>
                <c:pt idx="31">
                  <c:v>299327.973809684</c:v>
                </c:pt>
                <c:pt idx="32">
                  <c:v>299691.600071392</c:v>
                </c:pt>
                <c:pt idx="33">
                  <c:v>300055.2263331</c:v>
                </c:pt>
                <c:pt idx="34">
                  <c:v>300418.852594809</c:v>
                </c:pt>
                <c:pt idx="35">
                  <c:v>300782.478856517</c:v>
                </c:pt>
                <c:pt idx="36">
                  <c:v>301146.105118225</c:v>
                </c:pt>
                <c:pt idx="37">
                  <c:v>301509.731379933</c:v>
                </c:pt>
                <c:pt idx="38">
                  <c:v>301873.357641641</c:v>
                </c:pt>
                <c:pt idx="39">
                  <c:v>302236.98390335</c:v>
                </c:pt>
                <c:pt idx="40">
                  <c:v>302600.610165058</c:v>
                </c:pt>
                <c:pt idx="41">
                  <c:v>302964.236426766</c:v>
                </c:pt>
                <c:pt idx="42">
                  <c:v>303327.862688474</c:v>
                </c:pt>
                <c:pt idx="43">
                  <c:v>303691.488950182</c:v>
                </c:pt>
                <c:pt idx="44">
                  <c:v>304055.11521189</c:v>
                </c:pt>
                <c:pt idx="45">
                  <c:v>304418.741473599</c:v>
                </c:pt>
                <c:pt idx="46">
                  <c:v>304782.367735307</c:v>
                </c:pt>
                <c:pt idx="47">
                  <c:v>305145.993997015</c:v>
                </c:pt>
                <c:pt idx="48">
                  <c:v>305509.620258723</c:v>
                </c:pt>
                <c:pt idx="49">
                  <c:v>305873.246520431</c:v>
                </c:pt>
                <c:pt idx="50">
                  <c:v>306236.87278214</c:v>
                </c:pt>
                <c:pt idx="51">
                  <c:v>306600.499043848</c:v>
                </c:pt>
                <c:pt idx="52">
                  <c:v>306964.125305556</c:v>
                </c:pt>
                <c:pt idx="53">
                  <c:v>307327.751567264</c:v>
                </c:pt>
                <c:pt idx="54">
                  <c:v>307691.377828972</c:v>
                </c:pt>
                <c:pt idx="55">
                  <c:v>308055.004090681</c:v>
                </c:pt>
                <c:pt idx="56">
                  <c:v>308418.630352389</c:v>
                </c:pt>
                <c:pt idx="57">
                  <c:v>308782.256614097</c:v>
                </c:pt>
                <c:pt idx="58">
                  <c:v>309145.882875805</c:v>
                </c:pt>
                <c:pt idx="59">
                  <c:v>309509.509137513</c:v>
                </c:pt>
                <c:pt idx="60">
                  <c:v>309873.135399222</c:v>
                </c:pt>
                <c:pt idx="61">
                  <c:v>310236.76166093</c:v>
                </c:pt>
                <c:pt idx="62">
                  <c:v>310600.387922638</c:v>
                </c:pt>
                <c:pt idx="63">
                  <c:v>310964.014184346</c:v>
                </c:pt>
                <c:pt idx="64">
                  <c:v>311327.640446054</c:v>
                </c:pt>
                <c:pt idx="65">
                  <c:v>311691.266707763</c:v>
                </c:pt>
                <c:pt idx="66">
                  <c:v>312054.892969471</c:v>
                </c:pt>
                <c:pt idx="67">
                  <c:v>312418.519231179</c:v>
                </c:pt>
                <c:pt idx="68">
                  <c:v>312782.145492887</c:v>
                </c:pt>
                <c:pt idx="69">
                  <c:v>313145.771754595</c:v>
                </c:pt>
                <c:pt idx="70">
                  <c:v>313509.398016303</c:v>
                </c:pt>
                <c:pt idx="71">
                  <c:v>313873.024278012</c:v>
                </c:pt>
                <c:pt idx="72">
                  <c:v>314236.65053972</c:v>
                </c:pt>
                <c:pt idx="73">
                  <c:v>314600.276801428</c:v>
                </c:pt>
                <c:pt idx="74">
                  <c:v>314963.903063136</c:v>
                </c:pt>
                <c:pt idx="75">
                  <c:v>315327.529324844</c:v>
                </c:pt>
                <c:pt idx="76">
                  <c:v>315691.155586553</c:v>
                </c:pt>
                <c:pt idx="77">
                  <c:v>316054.781848261</c:v>
                </c:pt>
                <c:pt idx="78">
                  <c:v>316418.408109969</c:v>
                </c:pt>
                <c:pt idx="79">
                  <c:v>316782.034371677</c:v>
                </c:pt>
                <c:pt idx="80">
                  <c:v>317145.660633385</c:v>
                </c:pt>
                <c:pt idx="81">
                  <c:v>317509.286895094</c:v>
                </c:pt>
                <c:pt idx="82">
                  <c:v>317872.913156802</c:v>
                </c:pt>
                <c:pt idx="83">
                  <c:v>318236.53941851</c:v>
                </c:pt>
                <c:pt idx="84">
                  <c:v>318600.165680218</c:v>
                </c:pt>
                <c:pt idx="85">
                  <c:v>318963.791941926</c:v>
                </c:pt>
                <c:pt idx="86">
                  <c:v>319327.418203635</c:v>
                </c:pt>
                <c:pt idx="87">
                  <c:v>319691.044465343</c:v>
                </c:pt>
                <c:pt idx="88">
                  <c:v>320054.670727051</c:v>
                </c:pt>
                <c:pt idx="89">
                  <c:v>320418.296988759</c:v>
                </c:pt>
                <c:pt idx="90">
                  <c:v>320781.923250467</c:v>
                </c:pt>
                <c:pt idx="91">
                  <c:v>321145.549512176</c:v>
                </c:pt>
                <c:pt idx="92">
                  <c:v>321509.175773884</c:v>
                </c:pt>
                <c:pt idx="93">
                  <c:v>321872.802035592</c:v>
                </c:pt>
                <c:pt idx="94">
                  <c:v>322236.4282973</c:v>
                </c:pt>
                <c:pt idx="95">
                  <c:v>322600.054559008</c:v>
                </c:pt>
                <c:pt idx="96">
                  <c:v>322963.680820716</c:v>
                </c:pt>
                <c:pt idx="97">
                  <c:v>323327.307082425</c:v>
                </c:pt>
                <c:pt idx="98">
                  <c:v>323690.933344133</c:v>
                </c:pt>
                <c:pt idx="99">
                  <c:v>324054.559605841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5502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Sheet1!$T$2:$T$101</c:f>
              <c:numCache>
                <c:formatCode>General</c:formatCode>
                <c:ptCount val="100"/>
                <c:pt idx="0">
                  <c:v>324059.01900583</c:v>
                </c:pt>
                <c:pt idx="1">
                  <c:v>324422.645267538</c:v>
                </c:pt>
                <c:pt idx="2">
                  <c:v>324786.271529246</c:v>
                </c:pt>
                <c:pt idx="3">
                  <c:v>325149.897790955</c:v>
                </c:pt>
                <c:pt idx="4">
                  <c:v>325513.524052663</c:v>
                </c:pt>
                <c:pt idx="5">
                  <c:v>325877.150314371</c:v>
                </c:pt>
                <c:pt idx="6">
                  <c:v>326240.776576079</c:v>
                </c:pt>
                <c:pt idx="7">
                  <c:v>326604.402837787</c:v>
                </c:pt>
                <c:pt idx="8">
                  <c:v>326968.029099496</c:v>
                </c:pt>
                <c:pt idx="9">
                  <c:v>327331.655361204</c:v>
                </c:pt>
                <c:pt idx="10">
                  <c:v>327695.281622912</c:v>
                </c:pt>
                <c:pt idx="11">
                  <c:v>328058.90788462</c:v>
                </c:pt>
                <c:pt idx="12">
                  <c:v>328422.534146328</c:v>
                </c:pt>
                <c:pt idx="13">
                  <c:v>328786.160408037</c:v>
                </c:pt>
                <c:pt idx="14">
                  <c:v>329149.786669745</c:v>
                </c:pt>
                <c:pt idx="15">
                  <c:v>329513.412931453</c:v>
                </c:pt>
                <c:pt idx="16">
                  <c:v>329877.039193161</c:v>
                </c:pt>
                <c:pt idx="17">
                  <c:v>330240.665454869</c:v>
                </c:pt>
                <c:pt idx="18">
                  <c:v>330604.291716577</c:v>
                </c:pt>
                <c:pt idx="19">
                  <c:v>330967.917978286</c:v>
                </c:pt>
                <c:pt idx="20">
                  <c:v>331331.544239994</c:v>
                </c:pt>
                <c:pt idx="21">
                  <c:v>331695.170501702</c:v>
                </c:pt>
                <c:pt idx="22">
                  <c:v>332058.79676341</c:v>
                </c:pt>
                <c:pt idx="23">
                  <c:v>332422.423025118</c:v>
                </c:pt>
                <c:pt idx="24">
                  <c:v>332786.049286827</c:v>
                </c:pt>
                <c:pt idx="25">
                  <c:v>333149.675548535</c:v>
                </c:pt>
                <c:pt idx="26">
                  <c:v>333513.301810243</c:v>
                </c:pt>
                <c:pt idx="27">
                  <c:v>333876.928071951</c:v>
                </c:pt>
                <c:pt idx="28">
                  <c:v>334240.554333659</c:v>
                </c:pt>
                <c:pt idx="29">
                  <c:v>334604.180595368</c:v>
                </c:pt>
                <c:pt idx="30">
                  <c:v>334967.806857076</c:v>
                </c:pt>
                <c:pt idx="31">
                  <c:v>335331.433118784</c:v>
                </c:pt>
                <c:pt idx="32">
                  <c:v>335695.059380492</c:v>
                </c:pt>
                <c:pt idx="33">
                  <c:v>336058.6856422</c:v>
                </c:pt>
                <c:pt idx="34">
                  <c:v>336422.311903909</c:v>
                </c:pt>
                <c:pt idx="35">
                  <c:v>336785.938165617</c:v>
                </c:pt>
                <c:pt idx="36">
                  <c:v>337149.564427325</c:v>
                </c:pt>
                <c:pt idx="37">
                  <c:v>337513.190689033</c:v>
                </c:pt>
                <c:pt idx="38">
                  <c:v>337876.816950741</c:v>
                </c:pt>
                <c:pt idx="39">
                  <c:v>338240.44321245</c:v>
                </c:pt>
                <c:pt idx="40">
                  <c:v>338604.069474158</c:v>
                </c:pt>
                <c:pt idx="41">
                  <c:v>338967.695735866</c:v>
                </c:pt>
                <c:pt idx="42">
                  <c:v>339331.321997574</c:v>
                </c:pt>
                <c:pt idx="43">
                  <c:v>339694.948259282</c:v>
                </c:pt>
                <c:pt idx="44">
                  <c:v>340058.57452099</c:v>
                </c:pt>
                <c:pt idx="45">
                  <c:v>340422.200782699</c:v>
                </c:pt>
                <c:pt idx="46">
                  <c:v>340785.827044407</c:v>
                </c:pt>
                <c:pt idx="47">
                  <c:v>341149.453306115</c:v>
                </c:pt>
                <c:pt idx="48">
                  <c:v>341513.079567823</c:v>
                </c:pt>
                <c:pt idx="49">
                  <c:v>341876.705829531</c:v>
                </c:pt>
                <c:pt idx="50">
                  <c:v>342240.33209124</c:v>
                </c:pt>
                <c:pt idx="51">
                  <c:v>342603.958352948</c:v>
                </c:pt>
                <c:pt idx="52">
                  <c:v>342967.584614656</c:v>
                </c:pt>
                <c:pt idx="53">
                  <c:v>343331.210876364</c:v>
                </c:pt>
                <c:pt idx="54">
                  <c:v>343694.837138072</c:v>
                </c:pt>
                <c:pt idx="55">
                  <c:v>344058.463399781</c:v>
                </c:pt>
                <c:pt idx="56">
                  <c:v>344422.089661489</c:v>
                </c:pt>
                <c:pt idx="57">
                  <c:v>344785.715923197</c:v>
                </c:pt>
                <c:pt idx="58">
                  <c:v>345149.342184905</c:v>
                </c:pt>
                <c:pt idx="59">
                  <c:v>345512.968446613</c:v>
                </c:pt>
                <c:pt idx="60">
                  <c:v>345876.594708322</c:v>
                </c:pt>
                <c:pt idx="61">
                  <c:v>346240.22097003</c:v>
                </c:pt>
                <c:pt idx="62">
                  <c:v>346603.847231738</c:v>
                </c:pt>
                <c:pt idx="63">
                  <c:v>346967.473493446</c:v>
                </c:pt>
                <c:pt idx="64">
                  <c:v>347331.099755154</c:v>
                </c:pt>
                <c:pt idx="65">
                  <c:v>347694.726016863</c:v>
                </c:pt>
                <c:pt idx="66">
                  <c:v>348058.352278571</c:v>
                </c:pt>
                <c:pt idx="67">
                  <c:v>348421.978540279</c:v>
                </c:pt>
                <c:pt idx="68">
                  <c:v>348785.604801987</c:v>
                </c:pt>
                <c:pt idx="69">
                  <c:v>349149.231063695</c:v>
                </c:pt>
                <c:pt idx="70">
                  <c:v>349512.857325403</c:v>
                </c:pt>
                <c:pt idx="71">
                  <c:v>349876.483587112</c:v>
                </c:pt>
                <c:pt idx="72">
                  <c:v>350240.10984882</c:v>
                </c:pt>
                <c:pt idx="73">
                  <c:v>350603.736110528</c:v>
                </c:pt>
                <c:pt idx="74">
                  <c:v>350967.362372236</c:v>
                </c:pt>
                <c:pt idx="75">
                  <c:v>351330.988633944</c:v>
                </c:pt>
                <c:pt idx="76">
                  <c:v>351694.614895653</c:v>
                </c:pt>
                <c:pt idx="77">
                  <c:v>352058.241157361</c:v>
                </c:pt>
                <c:pt idx="78">
                  <c:v>352421.867419069</c:v>
                </c:pt>
                <c:pt idx="79">
                  <c:v>352785.493680777</c:v>
                </c:pt>
                <c:pt idx="80">
                  <c:v>353149.119942485</c:v>
                </c:pt>
                <c:pt idx="81">
                  <c:v>353512.746204194</c:v>
                </c:pt>
                <c:pt idx="82">
                  <c:v>353876.372465902</c:v>
                </c:pt>
                <c:pt idx="83">
                  <c:v>354239.99872761</c:v>
                </c:pt>
                <c:pt idx="84">
                  <c:v>354603.624989318</c:v>
                </c:pt>
                <c:pt idx="85">
                  <c:v>354967.251251026</c:v>
                </c:pt>
                <c:pt idx="86">
                  <c:v>355330.877512735</c:v>
                </c:pt>
                <c:pt idx="87">
                  <c:v>355694.503774443</c:v>
                </c:pt>
                <c:pt idx="88">
                  <c:v>356058.130036151</c:v>
                </c:pt>
                <c:pt idx="89">
                  <c:v>356421.756297859</c:v>
                </c:pt>
                <c:pt idx="90">
                  <c:v>356785.382559567</c:v>
                </c:pt>
                <c:pt idx="91">
                  <c:v>357149.008821275</c:v>
                </c:pt>
                <c:pt idx="92">
                  <c:v>357512.635082984</c:v>
                </c:pt>
                <c:pt idx="93">
                  <c:v>357876.261344692</c:v>
                </c:pt>
                <c:pt idx="94">
                  <c:v>358239.8876064</c:v>
                </c:pt>
                <c:pt idx="95">
                  <c:v>358603.513868108</c:v>
                </c:pt>
                <c:pt idx="96">
                  <c:v>358967.140129816</c:v>
                </c:pt>
                <c:pt idx="97">
                  <c:v>359330.766391525</c:v>
                </c:pt>
                <c:pt idx="98">
                  <c:v>359694.392653233</c:v>
                </c:pt>
                <c:pt idx="99">
                  <c:v>360058.018914941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axId val="59113261"/>
        <c:axId val="23182159"/>
      </c:scatterChart>
      <c:valAx>
        <c:axId val="5911326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temps(seconde)</a:t>
                </a:r>
              </a:p>
            </c:rich>
          </c:tx>
          <c:layout>
            <c:manualLayout>
              <c:xMode val="edge"/>
              <c:yMode val="edge"/>
              <c:x val="0.447652220510416"/>
              <c:y val="0.915173364436433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23182159"/>
        <c:crosses val="autoZero"/>
        <c:crossBetween val="midCat"/>
      </c:valAx>
      <c:valAx>
        <c:axId val="231821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U(V)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5911326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Evolution de la tension en fonction de la capacité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Sheet1!$AG$2:$AG$101</c:f>
              <c:numCache>
                <c:formatCode>General</c:formatCode>
                <c:ptCount val="100"/>
                <c:pt idx="0">
                  <c:v>9.90434447620886</c:v>
                </c:pt>
                <c:pt idx="1">
                  <c:v>9.80333718128992</c:v>
                </c:pt>
                <c:pt idx="2">
                  <c:v>9.70232988637097</c:v>
                </c:pt>
                <c:pt idx="3">
                  <c:v>9.60132259145203</c:v>
                </c:pt>
                <c:pt idx="4">
                  <c:v>9.50031529653309</c:v>
                </c:pt>
                <c:pt idx="5">
                  <c:v>9.39930800161414</c:v>
                </c:pt>
                <c:pt idx="6">
                  <c:v>9.2983007066952</c:v>
                </c:pt>
                <c:pt idx="7">
                  <c:v>9.19729341177625</c:v>
                </c:pt>
                <c:pt idx="8">
                  <c:v>9.09628611685731</c:v>
                </c:pt>
                <c:pt idx="9">
                  <c:v>8.99527882193836</c:v>
                </c:pt>
                <c:pt idx="10">
                  <c:v>8.89427152701942</c:v>
                </c:pt>
                <c:pt idx="11">
                  <c:v>8.7932642321005</c:v>
                </c:pt>
                <c:pt idx="12">
                  <c:v>8.69225693718156</c:v>
                </c:pt>
                <c:pt idx="13">
                  <c:v>8.59124964226261</c:v>
                </c:pt>
                <c:pt idx="14">
                  <c:v>8.49024234734367</c:v>
                </c:pt>
                <c:pt idx="15">
                  <c:v>8.38923505242472</c:v>
                </c:pt>
                <c:pt idx="16">
                  <c:v>8.28822775750578</c:v>
                </c:pt>
                <c:pt idx="17">
                  <c:v>8.18722046258684</c:v>
                </c:pt>
                <c:pt idx="18">
                  <c:v>8.08621316766789</c:v>
                </c:pt>
                <c:pt idx="19">
                  <c:v>7.98520587274895</c:v>
                </c:pt>
                <c:pt idx="20">
                  <c:v>7.88419857783</c:v>
                </c:pt>
                <c:pt idx="21">
                  <c:v>7.78319128291106</c:v>
                </c:pt>
                <c:pt idx="22">
                  <c:v>7.68218398799211</c:v>
                </c:pt>
                <c:pt idx="23">
                  <c:v>7.58117669307317</c:v>
                </c:pt>
                <c:pt idx="24">
                  <c:v>7.48016939815422</c:v>
                </c:pt>
                <c:pt idx="25">
                  <c:v>7.37916210323528</c:v>
                </c:pt>
                <c:pt idx="26">
                  <c:v>7.27815480831633</c:v>
                </c:pt>
                <c:pt idx="27">
                  <c:v>7.17714751339739</c:v>
                </c:pt>
                <c:pt idx="28">
                  <c:v>7.07614021847845</c:v>
                </c:pt>
                <c:pt idx="29">
                  <c:v>6.9751329235595</c:v>
                </c:pt>
                <c:pt idx="30">
                  <c:v>6.87412562864056</c:v>
                </c:pt>
                <c:pt idx="31">
                  <c:v>6.77311833372164</c:v>
                </c:pt>
                <c:pt idx="32">
                  <c:v>6.6721110388027</c:v>
                </c:pt>
                <c:pt idx="33">
                  <c:v>6.57110374388375</c:v>
                </c:pt>
                <c:pt idx="34">
                  <c:v>6.47009644896481</c:v>
                </c:pt>
                <c:pt idx="35">
                  <c:v>6.36908915404586</c:v>
                </c:pt>
                <c:pt idx="36">
                  <c:v>6.26808185912692</c:v>
                </c:pt>
                <c:pt idx="37">
                  <c:v>6.16707456420798</c:v>
                </c:pt>
                <c:pt idx="38">
                  <c:v>6.06606726928903</c:v>
                </c:pt>
                <c:pt idx="39">
                  <c:v>5.96505997437008</c:v>
                </c:pt>
                <c:pt idx="40">
                  <c:v>5.86405267945114</c:v>
                </c:pt>
                <c:pt idx="41">
                  <c:v>5.7630453845322</c:v>
                </c:pt>
                <c:pt idx="42">
                  <c:v>5.66203808961325</c:v>
                </c:pt>
                <c:pt idx="43">
                  <c:v>5.56103079469431</c:v>
                </c:pt>
                <c:pt idx="44">
                  <c:v>5.46002349977536</c:v>
                </c:pt>
                <c:pt idx="45">
                  <c:v>5.35901620485642</c:v>
                </c:pt>
                <c:pt idx="46">
                  <c:v>5.25800890993747</c:v>
                </c:pt>
                <c:pt idx="47">
                  <c:v>5.15700161501853</c:v>
                </c:pt>
                <c:pt idx="48">
                  <c:v>5.05599432009959</c:v>
                </c:pt>
                <c:pt idx="49">
                  <c:v>4.95498702518064</c:v>
                </c:pt>
                <c:pt idx="50">
                  <c:v>4.8539797302617</c:v>
                </c:pt>
                <c:pt idx="51">
                  <c:v>4.75297243534278</c:v>
                </c:pt>
                <c:pt idx="52">
                  <c:v>4.65196514042383</c:v>
                </c:pt>
                <c:pt idx="53">
                  <c:v>4.55095784550489</c:v>
                </c:pt>
                <c:pt idx="54">
                  <c:v>4.44995055058595</c:v>
                </c:pt>
                <c:pt idx="55">
                  <c:v>4.348943255667</c:v>
                </c:pt>
                <c:pt idx="56">
                  <c:v>4.24793596074806</c:v>
                </c:pt>
                <c:pt idx="57">
                  <c:v>4.14692866582911</c:v>
                </c:pt>
                <c:pt idx="58">
                  <c:v>4.04592137091017</c:v>
                </c:pt>
                <c:pt idx="59">
                  <c:v>3.94491407599122</c:v>
                </c:pt>
                <c:pt idx="60">
                  <c:v>3.84390678107228</c:v>
                </c:pt>
                <c:pt idx="61">
                  <c:v>3.74289948615333</c:v>
                </c:pt>
                <c:pt idx="62">
                  <c:v>3.64189219123439</c:v>
                </c:pt>
                <c:pt idx="63">
                  <c:v>3.54088489631545</c:v>
                </c:pt>
                <c:pt idx="64">
                  <c:v>3.4398776013965</c:v>
                </c:pt>
                <c:pt idx="65">
                  <c:v>3.33887030647756</c:v>
                </c:pt>
                <c:pt idx="66">
                  <c:v>3.23786301155861</c:v>
                </c:pt>
                <c:pt idx="67">
                  <c:v>3.13685571663967</c:v>
                </c:pt>
                <c:pt idx="68">
                  <c:v>3.03584842172072</c:v>
                </c:pt>
                <c:pt idx="69">
                  <c:v>2.93484112680178</c:v>
                </c:pt>
                <c:pt idx="70">
                  <c:v>2.83383383188284</c:v>
                </c:pt>
                <c:pt idx="71">
                  <c:v>2.73282653696392</c:v>
                </c:pt>
                <c:pt idx="72">
                  <c:v>2.63181924204497</c:v>
                </c:pt>
                <c:pt idx="73">
                  <c:v>2.53081194712603</c:v>
                </c:pt>
                <c:pt idx="74">
                  <c:v>2.42980465220708</c:v>
                </c:pt>
                <c:pt idx="75">
                  <c:v>2.32879735728814</c:v>
                </c:pt>
                <c:pt idx="76">
                  <c:v>2.2277900623692</c:v>
                </c:pt>
                <c:pt idx="77">
                  <c:v>2.12678276745025</c:v>
                </c:pt>
                <c:pt idx="78">
                  <c:v>2.02577547253131</c:v>
                </c:pt>
                <c:pt idx="79">
                  <c:v>1.92476817761236</c:v>
                </c:pt>
                <c:pt idx="80">
                  <c:v>1.82376088269342</c:v>
                </c:pt>
                <c:pt idx="81">
                  <c:v>1.72275358777447</c:v>
                </c:pt>
                <c:pt idx="82">
                  <c:v>1.62174629285553</c:v>
                </c:pt>
                <c:pt idx="83">
                  <c:v>1.52073899793658</c:v>
                </c:pt>
                <c:pt idx="84">
                  <c:v>1.41973170301764</c:v>
                </c:pt>
                <c:pt idx="85">
                  <c:v>1.3187244080987</c:v>
                </c:pt>
                <c:pt idx="86">
                  <c:v>1.21771711317975</c:v>
                </c:pt>
                <c:pt idx="87">
                  <c:v>1.11670981826081</c:v>
                </c:pt>
                <c:pt idx="88">
                  <c:v>1.01570252334186</c:v>
                </c:pt>
                <c:pt idx="89">
                  <c:v>0.91469522842292</c:v>
                </c:pt>
                <c:pt idx="90">
                  <c:v>0.813687933503973</c:v>
                </c:pt>
                <c:pt idx="91">
                  <c:v>0.712680638585058</c:v>
                </c:pt>
                <c:pt idx="92">
                  <c:v>0.611673343666114</c:v>
                </c:pt>
                <c:pt idx="93">
                  <c:v>0.510666048747167</c:v>
                </c:pt>
                <c:pt idx="94">
                  <c:v>0.409658753828225</c:v>
                </c:pt>
                <c:pt idx="95">
                  <c:v>0.308651458909281</c:v>
                </c:pt>
                <c:pt idx="96">
                  <c:v>0.207644163990334</c:v>
                </c:pt>
                <c:pt idx="97">
                  <c:v>0.106636869071391</c:v>
                </c:pt>
                <c:pt idx="98">
                  <c:v>0.00562957415244725</c:v>
                </c:pt>
                <c:pt idx="99">
                  <c:v>-0.0953777207664999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axId val="25268645"/>
        <c:axId val="1270187"/>
      </c:scatterChart>
      <c:valAx>
        <c:axId val="25268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C(mA*h)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270187"/>
        <c:crosses val="autoZero"/>
        <c:crossBetween val="midCat"/>
      </c:valAx>
      <c:valAx>
        <c:axId val="127018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526864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Evolution de la tension en fonction de l'état de charge(Soc)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Sheet1!$AH$2:$AH$101</c:f>
              <c:numCache>
                <c:formatCode>General</c:formatCode>
                <c:ptCount val="100"/>
                <c:pt idx="0">
                  <c:v>99.9437343705526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axId val="21664710"/>
        <c:axId val="150073"/>
      </c:scatterChart>
      <c:valAx>
        <c:axId val="21664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Etat de charge(%)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50073"/>
        <c:crosses val="autoZero"/>
        <c:crossBetween val="midCat"/>
      </c:valAx>
      <c:valAx>
        <c:axId val="15007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166471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Evolution de la tension en fonction de la capacité</a:t>
            </a:r>
          </a:p>
        </c:rich>
      </c:tx>
      <c:layout>
        <c:manualLayout>
          <c:xMode val="edge"/>
          <c:yMode val="edge"/>
          <c:x val="0.156194475852043"/>
          <c:y val="0.0324189526184539"/>
        </c:manualLayout>
      </c:layout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8a303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369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33e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8e03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c99c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9211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0e62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23f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6225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5502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axId val="33824317"/>
        <c:axId val="46442930"/>
      </c:scatterChart>
      <c:valAx>
        <c:axId val="3382431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C(mA.h)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46442930"/>
        <c:crosses val="autoZero"/>
        <c:crossBetween val="midCat"/>
      </c:valAx>
      <c:valAx>
        <c:axId val="464429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U(V)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3382431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Evolution de la tension de charge/décharge en fonction du temps(5 cycles)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881192713771899"/>
          <c:y val="0.154557015684612"/>
          <c:w val="0.854391460726302"/>
          <c:h val="0.70674014412886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18a3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</c:v>
                </c:pt>
                <c:pt idx="2">
                  <c:v>747.518990365221</c:v>
                </c:pt>
                <c:pt idx="3">
                  <c:v>1111.14525207342</c:v>
                </c:pt>
                <c:pt idx="4">
                  <c:v>1474.77151378161</c:v>
                </c:pt>
                <c:pt idx="5">
                  <c:v>1838.39777548981</c:v>
                </c:pt>
                <c:pt idx="6">
                  <c:v>2202.024037198</c:v>
                </c:pt>
                <c:pt idx="7">
                  <c:v>2565.65029890619</c:v>
                </c:pt>
                <c:pt idx="8">
                  <c:v>2929.27656061439</c:v>
                </c:pt>
                <c:pt idx="9">
                  <c:v>3292.90282232258</c:v>
                </c:pt>
                <c:pt idx="10">
                  <c:v>3656.52908403078</c:v>
                </c:pt>
                <c:pt idx="11">
                  <c:v>4020.15534573897</c:v>
                </c:pt>
                <c:pt idx="12">
                  <c:v>4383.78160744717</c:v>
                </c:pt>
                <c:pt idx="13">
                  <c:v>4747.40786915536</c:v>
                </c:pt>
                <c:pt idx="14">
                  <c:v>5111.03413086356</c:v>
                </c:pt>
                <c:pt idx="15">
                  <c:v>5474.66039257175</c:v>
                </c:pt>
                <c:pt idx="16">
                  <c:v>5838.28665427995</c:v>
                </c:pt>
                <c:pt idx="17">
                  <c:v>6201.91291598814</c:v>
                </c:pt>
                <c:pt idx="18">
                  <c:v>6565.53917769634</c:v>
                </c:pt>
                <c:pt idx="19">
                  <c:v>6929.16543940453</c:v>
                </c:pt>
                <c:pt idx="20">
                  <c:v>7292.79170111273</c:v>
                </c:pt>
                <c:pt idx="21">
                  <c:v>7656.41796282092</c:v>
                </c:pt>
                <c:pt idx="22">
                  <c:v>8020.04422452911</c:v>
                </c:pt>
                <c:pt idx="23">
                  <c:v>8383.67048623731</c:v>
                </c:pt>
                <c:pt idx="24">
                  <c:v>8747.2967479455</c:v>
                </c:pt>
                <c:pt idx="25">
                  <c:v>9110.9230096537</c:v>
                </c:pt>
                <c:pt idx="26">
                  <c:v>9474.54927136189</c:v>
                </c:pt>
                <c:pt idx="27">
                  <c:v>9838.17553307009</c:v>
                </c:pt>
                <c:pt idx="28">
                  <c:v>10201.8017947783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</c:v>
                </c:pt>
                <c:pt idx="32">
                  <c:v>11656.3068416111</c:v>
                </c:pt>
                <c:pt idx="33">
                  <c:v>12019.9331033193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</c:v>
                </c:pt>
                <c:pt idx="37">
                  <c:v>13474.438150152</c:v>
                </c:pt>
                <c:pt idx="38">
                  <c:v>13838.0644118602</c:v>
                </c:pt>
                <c:pt idx="39">
                  <c:v>14201.6906735684</c:v>
                </c:pt>
                <c:pt idx="40">
                  <c:v>14565.3169352766</c:v>
                </c:pt>
                <c:pt idx="41">
                  <c:v>14928.9431969848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</c:v>
                </c:pt>
                <c:pt idx="45">
                  <c:v>16383.4482438176</c:v>
                </c:pt>
                <c:pt idx="46">
                  <c:v>16747.0745055258</c:v>
                </c:pt>
                <c:pt idx="47">
                  <c:v>17110.700767234</c:v>
                </c:pt>
                <c:pt idx="48">
                  <c:v>17474.3270289422</c:v>
                </c:pt>
                <c:pt idx="49">
                  <c:v>17837.9532906504</c:v>
                </c:pt>
                <c:pt idx="50">
                  <c:v>18201.5795523586</c:v>
                </c:pt>
                <c:pt idx="51">
                  <c:v>18565.2058140668</c:v>
                </c:pt>
                <c:pt idx="52">
                  <c:v>18928.832075775</c:v>
                </c:pt>
                <c:pt idx="53">
                  <c:v>19292.4583374832</c:v>
                </c:pt>
                <c:pt idx="54">
                  <c:v>19656.0845991913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20746.9633843159</c:v>
                </c:pt>
                <c:pt idx="58">
                  <c:v>21110.5896460241</c:v>
                </c:pt>
                <c:pt idx="59">
                  <c:v>21474.2159077323</c:v>
                </c:pt>
                <c:pt idx="60">
                  <c:v>21837.8421694405</c:v>
                </c:pt>
                <c:pt idx="61">
                  <c:v>22201.4684311487</c:v>
                </c:pt>
                <c:pt idx="62">
                  <c:v>22565.0946928569</c:v>
                </c:pt>
                <c:pt idx="63">
                  <c:v>22928.7209545651</c:v>
                </c:pt>
                <c:pt idx="64">
                  <c:v>23292.3472162733</c:v>
                </c:pt>
                <c:pt idx="65">
                  <c:v>23655.9734779815</c:v>
                </c:pt>
                <c:pt idx="66">
                  <c:v>24019.5997396897</c:v>
                </c:pt>
                <c:pt idx="67">
                  <c:v>24383.2260013979</c:v>
                </c:pt>
                <c:pt idx="68">
                  <c:v>24746.8522631061</c:v>
                </c:pt>
                <c:pt idx="69">
                  <c:v>25110.4785248143</c:v>
                </c:pt>
                <c:pt idx="70">
                  <c:v>25474.1047865225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</c:v>
                </c:pt>
                <c:pt idx="74">
                  <c:v>26928.6098333552</c:v>
                </c:pt>
                <c:pt idx="75">
                  <c:v>27292.2360950634</c:v>
                </c:pt>
                <c:pt idx="76">
                  <c:v>27655.8623567716</c:v>
                </c:pt>
                <c:pt idx="77">
                  <c:v>28019.4886184798</c:v>
                </c:pt>
                <c:pt idx="78">
                  <c:v>28383.114880188</c:v>
                </c:pt>
                <c:pt idx="79">
                  <c:v>28746.7411418962</c:v>
                </c:pt>
                <c:pt idx="80">
                  <c:v>29110.3674036044</c:v>
                </c:pt>
                <c:pt idx="81">
                  <c:v>29473.9936653126</c:v>
                </c:pt>
                <c:pt idx="82">
                  <c:v>29837.6199270208</c:v>
                </c:pt>
                <c:pt idx="83">
                  <c:v>30201.246188729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31292.1249738536</c:v>
                </c:pt>
                <c:pt idx="87">
                  <c:v>31655.7512355618</c:v>
                </c:pt>
                <c:pt idx="88">
                  <c:v>32019.37749727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33110.2562823945</c:v>
                </c:pt>
                <c:pt idx="92">
                  <c:v>33473.8825441027</c:v>
                </c:pt>
                <c:pt idx="93">
                  <c:v>33837.5088058109</c:v>
                </c:pt>
                <c:pt idx="94">
                  <c:v>34201.1350675191</c:v>
                </c:pt>
                <c:pt idx="95">
                  <c:v>34564.7613292273</c:v>
                </c:pt>
                <c:pt idx="96">
                  <c:v>34928.3875909355</c:v>
                </c:pt>
                <c:pt idx="97">
                  <c:v>35292.0138526437</c:v>
                </c:pt>
                <c:pt idx="98">
                  <c:v>35655.6401143519</c:v>
                </c:pt>
                <c:pt idx="99">
                  <c:v>36019.2663760601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369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Sheet1!$D$2:$D$101</c:f>
              <c:numCache>
                <c:formatCode>General</c:formatCode>
                <c:ptCount val="100"/>
                <c:pt idx="0">
                  <c:v>36023.9618660482</c:v>
                </c:pt>
                <c:pt idx="1">
                  <c:v>36387.5881277564</c:v>
                </c:pt>
                <c:pt idx="2">
                  <c:v>36751.2143894646</c:v>
                </c:pt>
                <c:pt idx="3">
                  <c:v>37114.8406511728</c:v>
                </c:pt>
                <c:pt idx="4">
                  <c:v>37478.466912881</c:v>
                </c:pt>
                <c:pt idx="5">
                  <c:v>37842.0931745892</c:v>
                </c:pt>
                <c:pt idx="6">
                  <c:v>38205.7194362974</c:v>
                </c:pt>
                <c:pt idx="7">
                  <c:v>38569.3456980056</c:v>
                </c:pt>
                <c:pt idx="8">
                  <c:v>38932.9719597138</c:v>
                </c:pt>
                <c:pt idx="9">
                  <c:v>39296.598221422</c:v>
                </c:pt>
                <c:pt idx="10">
                  <c:v>39660.2244831302</c:v>
                </c:pt>
                <c:pt idx="11">
                  <c:v>40023.8507448383</c:v>
                </c:pt>
                <c:pt idx="12">
                  <c:v>40387.4770065465</c:v>
                </c:pt>
                <c:pt idx="13">
                  <c:v>40751.1032682547</c:v>
                </c:pt>
                <c:pt idx="14">
                  <c:v>41114.7295299629</c:v>
                </c:pt>
                <c:pt idx="15">
                  <c:v>41478.3557916711</c:v>
                </c:pt>
                <c:pt idx="16">
                  <c:v>41841.9820533793</c:v>
                </c:pt>
                <c:pt idx="17">
                  <c:v>42205.6083150875</c:v>
                </c:pt>
                <c:pt idx="18">
                  <c:v>42569.2345767957</c:v>
                </c:pt>
                <c:pt idx="19">
                  <c:v>42932.8608385039</c:v>
                </c:pt>
                <c:pt idx="20">
                  <c:v>43296.4871002121</c:v>
                </c:pt>
                <c:pt idx="21">
                  <c:v>43660.1133619203</c:v>
                </c:pt>
                <c:pt idx="22">
                  <c:v>44023.7396236285</c:v>
                </c:pt>
                <c:pt idx="23">
                  <c:v>44387.3658853367</c:v>
                </c:pt>
                <c:pt idx="24">
                  <c:v>44750.9921470449</c:v>
                </c:pt>
                <c:pt idx="25">
                  <c:v>45114.6184087531</c:v>
                </c:pt>
                <c:pt idx="26">
                  <c:v>45478.2446704613</c:v>
                </c:pt>
                <c:pt idx="27">
                  <c:v>45841.8709321695</c:v>
                </c:pt>
                <c:pt idx="28">
                  <c:v>46205.4971938777</c:v>
                </c:pt>
                <c:pt idx="29">
                  <c:v>46569.1234555859</c:v>
                </c:pt>
                <c:pt idx="30">
                  <c:v>46932.7497172941</c:v>
                </c:pt>
                <c:pt idx="31">
                  <c:v>47296.3759790022</c:v>
                </c:pt>
                <c:pt idx="32">
                  <c:v>47660.0022407104</c:v>
                </c:pt>
                <c:pt idx="33">
                  <c:v>48023.6285024186</c:v>
                </c:pt>
                <c:pt idx="34">
                  <c:v>48387.2547641268</c:v>
                </c:pt>
                <c:pt idx="35">
                  <c:v>48750.881025835</c:v>
                </c:pt>
                <c:pt idx="36">
                  <c:v>49114.5072875432</c:v>
                </c:pt>
                <c:pt idx="37">
                  <c:v>49478.1335492514</c:v>
                </c:pt>
                <c:pt idx="38">
                  <c:v>49841.7598109596</c:v>
                </c:pt>
                <c:pt idx="39">
                  <c:v>50205.3860726678</c:v>
                </c:pt>
                <c:pt idx="40">
                  <c:v>50569.012334376</c:v>
                </c:pt>
                <c:pt idx="41">
                  <c:v>50932.6385960842</c:v>
                </c:pt>
                <c:pt idx="42">
                  <c:v>51296.2648577924</c:v>
                </c:pt>
                <c:pt idx="43">
                  <c:v>51659.8911195006</c:v>
                </c:pt>
                <c:pt idx="44">
                  <c:v>52023.5173812088</c:v>
                </c:pt>
                <c:pt idx="45">
                  <c:v>52387.143642917</c:v>
                </c:pt>
                <c:pt idx="46">
                  <c:v>52750.7699046252</c:v>
                </c:pt>
                <c:pt idx="47">
                  <c:v>53114.3961663334</c:v>
                </c:pt>
                <c:pt idx="48">
                  <c:v>53478.0224280416</c:v>
                </c:pt>
                <c:pt idx="49">
                  <c:v>53841.6486897498</c:v>
                </c:pt>
                <c:pt idx="50">
                  <c:v>54205.274951458</c:v>
                </c:pt>
                <c:pt idx="51">
                  <c:v>54568.9012131661</c:v>
                </c:pt>
                <c:pt idx="52">
                  <c:v>54932.5274748743</c:v>
                </c:pt>
                <c:pt idx="53">
                  <c:v>55296.1537365825</c:v>
                </c:pt>
                <c:pt idx="54">
                  <c:v>55659.7799982907</c:v>
                </c:pt>
                <c:pt idx="55">
                  <c:v>56023.4062599989</c:v>
                </c:pt>
                <c:pt idx="56">
                  <c:v>56387.0325217071</c:v>
                </c:pt>
                <c:pt idx="57">
                  <c:v>56750.6587834153</c:v>
                </c:pt>
                <c:pt idx="58">
                  <c:v>57114.2850451235</c:v>
                </c:pt>
                <c:pt idx="59">
                  <c:v>57477.9113068317</c:v>
                </c:pt>
                <c:pt idx="60">
                  <c:v>57841.5375685399</c:v>
                </c:pt>
                <c:pt idx="61">
                  <c:v>58205.1638302481</c:v>
                </c:pt>
                <c:pt idx="62">
                  <c:v>58568.7900919563</c:v>
                </c:pt>
                <c:pt idx="63">
                  <c:v>58932.4163536645</c:v>
                </c:pt>
                <c:pt idx="64">
                  <c:v>59296.0426153727</c:v>
                </c:pt>
                <c:pt idx="65">
                  <c:v>59659.6688770809</c:v>
                </c:pt>
                <c:pt idx="66">
                  <c:v>60023.2951387891</c:v>
                </c:pt>
                <c:pt idx="67">
                  <c:v>60386.9214004973</c:v>
                </c:pt>
                <c:pt idx="68">
                  <c:v>60750.5476622055</c:v>
                </c:pt>
                <c:pt idx="69">
                  <c:v>61114.1739239137</c:v>
                </c:pt>
                <c:pt idx="70">
                  <c:v>61477.8001856219</c:v>
                </c:pt>
                <c:pt idx="71">
                  <c:v>61841.42644733</c:v>
                </c:pt>
                <c:pt idx="72">
                  <c:v>62205.0527090382</c:v>
                </c:pt>
                <c:pt idx="73">
                  <c:v>62568.6789707464</c:v>
                </c:pt>
                <c:pt idx="74">
                  <c:v>62932.3052324546</c:v>
                </c:pt>
                <c:pt idx="75">
                  <c:v>63295.9314941628</c:v>
                </c:pt>
                <c:pt idx="76">
                  <c:v>63659.557755871</c:v>
                </c:pt>
                <c:pt idx="77">
                  <c:v>64023.1840175792</c:v>
                </c:pt>
                <c:pt idx="78">
                  <c:v>64386.8102792874</c:v>
                </c:pt>
                <c:pt idx="79">
                  <c:v>64750.4365409956</c:v>
                </c:pt>
                <c:pt idx="80">
                  <c:v>65114.0628027038</c:v>
                </c:pt>
                <c:pt idx="81">
                  <c:v>65477.689064412</c:v>
                </c:pt>
                <c:pt idx="82">
                  <c:v>65841.3153261202</c:v>
                </c:pt>
                <c:pt idx="83">
                  <c:v>66204.9415878284</c:v>
                </c:pt>
                <c:pt idx="84">
                  <c:v>66568.5678495366</c:v>
                </c:pt>
                <c:pt idx="85">
                  <c:v>66932.1941112448</c:v>
                </c:pt>
                <c:pt idx="86">
                  <c:v>67295.820372953</c:v>
                </c:pt>
                <c:pt idx="87">
                  <c:v>67659.4466346612</c:v>
                </c:pt>
                <c:pt idx="88">
                  <c:v>68023.0728963694</c:v>
                </c:pt>
                <c:pt idx="89">
                  <c:v>68386.6991580776</c:v>
                </c:pt>
                <c:pt idx="90">
                  <c:v>68750.3254197858</c:v>
                </c:pt>
                <c:pt idx="91">
                  <c:v>69113.9516814939</c:v>
                </c:pt>
                <c:pt idx="92">
                  <c:v>69477.5779432021</c:v>
                </c:pt>
                <c:pt idx="93">
                  <c:v>69841.2042049103</c:v>
                </c:pt>
                <c:pt idx="94">
                  <c:v>70204.8304666185</c:v>
                </c:pt>
                <c:pt idx="95">
                  <c:v>70568.4567283267</c:v>
                </c:pt>
                <c:pt idx="96">
                  <c:v>70932.0829900349</c:v>
                </c:pt>
                <c:pt idx="97">
                  <c:v>71295.7092517431</c:v>
                </c:pt>
                <c:pt idx="98">
                  <c:v>71659.3355134513</c:v>
                </c:pt>
                <c:pt idx="99">
                  <c:v>72022.9617751595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33e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Sheet1!$F$2:$F$101</c:f>
              <c:numCache>
                <c:formatCode>General</c:formatCode>
                <c:ptCount val="100"/>
                <c:pt idx="0">
                  <c:v>72028.9955981443</c:v>
                </c:pt>
                <c:pt idx="1">
                  <c:v>72392.6218598525</c:v>
                </c:pt>
                <c:pt idx="2">
                  <c:v>72756.2481215607</c:v>
                </c:pt>
                <c:pt idx="3">
                  <c:v>73119.8743832689</c:v>
                </c:pt>
                <c:pt idx="4">
                  <c:v>73483.5006449771</c:v>
                </c:pt>
                <c:pt idx="5">
                  <c:v>73847.1269066853</c:v>
                </c:pt>
                <c:pt idx="6">
                  <c:v>74210.7531683935</c:v>
                </c:pt>
                <c:pt idx="7">
                  <c:v>74574.3794301017</c:v>
                </c:pt>
                <c:pt idx="8">
                  <c:v>74938.0056918099</c:v>
                </c:pt>
                <c:pt idx="9">
                  <c:v>75301.6319535181</c:v>
                </c:pt>
                <c:pt idx="10">
                  <c:v>75665.2582152263</c:v>
                </c:pt>
                <c:pt idx="11">
                  <c:v>76028.8844769345</c:v>
                </c:pt>
                <c:pt idx="12">
                  <c:v>76392.5107386427</c:v>
                </c:pt>
                <c:pt idx="13">
                  <c:v>76756.1370003509</c:v>
                </c:pt>
                <c:pt idx="14">
                  <c:v>77119.7632620591</c:v>
                </c:pt>
                <c:pt idx="15">
                  <c:v>77483.3895237673</c:v>
                </c:pt>
                <c:pt idx="16">
                  <c:v>77847.0157854755</c:v>
                </c:pt>
                <c:pt idx="17">
                  <c:v>78210.6420471837</c:v>
                </c:pt>
                <c:pt idx="18">
                  <c:v>78574.2683088919</c:v>
                </c:pt>
                <c:pt idx="19">
                  <c:v>78937.8945706001</c:v>
                </c:pt>
                <c:pt idx="20">
                  <c:v>79301.5208323083</c:v>
                </c:pt>
                <c:pt idx="21">
                  <c:v>79665.1470940165</c:v>
                </c:pt>
                <c:pt idx="22">
                  <c:v>80028.7733557247</c:v>
                </c:pt>
                <c:pt idx="23">
                  <c:v>80392.3996174329</c:v>
                </c:pt>
                <c:pt idx="24">
                  <c:v>80756.0258791411</c:v>
                </c:pt>
                <c:pt idx="25">
                  <c:v>81119.6521408493</c:v>
                </c:pt>
                <c:pt idx="26">
                  <c:v>81483.2784025575</c:v>
                </c:pt>
                <c:pt idx="27">
                  <c:v>81846.9046642657</c:v>
                </c:pt>
                <c:pt idx="28">
                  <c:v>82210.5309259739</c:v>
                </c:pt>
                <c:pt idx="29">
                  <c:v>82574.1571876821</c:v>
                </c:pt>
                <c:pt idx="30">
                  <c:v>82937.7834493903</c:v>
                </c:pt>
                <c:pt idx="31">
                  <c:v>83301.4097110985</c:v>
                </c:pt>
                <c:pt idx="32">
                  <c:v>83665.0359728067</c:v>
                </c:pt>
                <c:pt idx="33">
                  <c:v>84028.6622345149</c:v>
                </c:pt>
                <c:pt idx="34">
                  <c:v>84392.2884962231</c:v>
                </c:pt>
                <c:pt idx="35">
                  <c:v>84755.9147579313</c:v>
                </c:pt>
                <c:pt idx="36">
                  <c:v>85119.5410196395</c:v>
                </c:pt>
                <c:pt idx="37">
                  <c:v>85483.1672813477</c:v>
                </c:pt>
                <c:pt idx="38">
                  <c:v>85846.7935430559</c:v>
                </c:pt>
                <c:pt idx="39">
                  <c:v>86210.4198047641</c:v>
                </c:pt>
                <c:pt idx="40">
                  <c:v>86574.0460664723</c:v>
                </c:pt>
                <c:pt idx="41">
                  <c:v>86937.6723281805</c:v>
                </c:pt>
                <c:pt idx="42">
                  <c:v>87301.2985898887</c:v>
                </c:pt>
                <c:pt idx="43">
                  <c:v>87664.9248515969</c:v>
                </c:pt>
                <c:pt idx="44">
                  <c:v>88028.5511133051</c:v>
                </c:pt>
                <c:pt idx="45">
                  <c:v>88392.1773750133</c:v>
                </c:pt>
                <c:pt idx="46">
                  <c:v>88755.8036367215</c:v>
                </c:pt>
                <c:pt idx="47">
                  <c:v>89119.4298984297</c:v>
                </c:pt>
                <c:pt idx="48">
                  <c:v>89483.0561601379</c:v>
                </c:pt>
                <c:pt idx="49">
                  <c:v>89846.6824218461</c:v>
                </c:pt>
                <c:pt idx="50">
                  <c:v>90210.3086835543</c:v>
                </c:pt>
                <c:pt idx="51">
                  <c:v>90573.9349452624</c:v>
                </c:pt>
                <c:pt idx="52">
                  <c:v>90937.5612069707</c:v>
                </c:pt>
                <c:pt idx="53">
                  <c:v>91301.1874686789</c:v>
                </c:pt>
                <c:pt idx="54">
                  <c:v>91664.8137303871</c:v>
                </c:pt>
                <c:pt idx="55">
                  <c:v>92028.4399920952</c:v>
                </c:pt>
                <c:pt idx="56">
                  <c:v>92392.0662538034</c:v>
                </c:pt>
                <c:pt idx="57">
                  <c:v>92755.6925155117</c:v>
                </c:pt>
                <c:pt idx="58">
                  <c:v>93119.3187772198</c:v>
                </c:pt>
                <c:pt idx="59">
                  <c:v>93482.945038928</c:v>
                </c:pt>
                <c:pt idx="60">
                  <c:v>93846.5713006362</c:v>
                </c:pt>
                <c:pt idx="61">
                  <c:v>94210.1975623444</c:v>
                </c:pt>
                <c:pt idx="62">
                  <c:v>94573.8238240526</c:v>
                </c:pt>
                <c:pt idx="63">
                  <c:v>94937.4500857608</c:v>
                </c:pt>
                <c:pt idx="64">
                  <c:v>95301.076347469</c:v>
                </c:pt>
                <c:pt idx="65">
                  <c:v>95664.7026091772</c:v>
                </c:pt>
                <c:pt idx="66">
                  <c:v>96028.3288708854</c:v>
                </c:pt>
                <c:pt idx="67">
                  <c:v>96391.9551325936</c:v>
                </c:pt>
                <c:pt idx="68">
                  <c:v>96755.5813943018</c:v>
                </c:pt>
                <c:pt idx="69">
                  <c:v>97119.20765601</c:v>
                </c:pt>
                <c:pt idx="70">
                  <c:v>97482.8339177182</c:v>
                </c:pt>
                <c:pt idx="71">
                  <c:v>97846.4601794264</c:v>
                </c:pt>
                <c:pt idx="72">
                  <c:v>98210.0864411346</c:v>
                </c:pt>
                <c:pt idx="73">
                  <c:v>98573.7127028428</c:v>
                </c:pt>
                <c:pt idx="74">
                  <c:v>98937.338964551</c:v>
                </c:pt>
                <c:pt idx="75">
                  <c:v>99300.9652262592</c:v>
                </c:pt>
                <c:pt idx="76">
                  <c:v>99664.5914879674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101482.722796508</c:v>
                </c:pt>
                <c:pt idx="82">
                  <c:v>101846.349058217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8e03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Sheet1!$H$2:$H$101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</c:v>
                </c:pt>
                <c:pt idx="39">
                  <c:v>122213.801111864</c:v>
                </c:pt>
                <c:pt idx="40">
                  <c:v>122577.427373572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</c:v>
                </c:pt>
                <c:pt idx="49">
                  <c:v>125850.063728946</c:v>
                </c:pt>
                <c:pt idx="50">
                  <c:v>126213.689990654</c:v>
                </c:pt>
                <c:pt idx="51">
                  <c:v>126577.316252362</c:v>
                </c:pt>
                <c:pt idx="52">
                  <c:v>126940.942514071</c:v>
                </c:pt>
                <c:pt idx="53">
                  <c:v>127304.568775779</c:v>
                </c:pt>
                <c:pt idx="54">
                  <c:v>127668.195037487</c:v>
                </c:pt>
                <c:pt idx="55">
                  <c:v>128031.821299195</c:v>
                </c:pt>
                <c:pt idx="56">
                  <c:v>128395.447560903</c:v>
                </c:pt>
                <c:pt idx="57">
                  <c:v>128759.073822612</c:v>
                </c:pt>
                <c:pt idx="58">
                  <c:v>129122.70008432</c:v>
                </c:pt>
                <c:pt idx="59">
                  <c:v>129486.326346028</c:v>
                </c:pt>
                <c:pt idx="60">
                  <c:v>129849.952607736</c:v>
                </c:pt>
                <c:pt idx="61">
                  <c:v>130213.578869444</c:v>
                </c:pt>
                <c:pt idx="62">
                  <c:v>130577.205131153</c:v>
                </c:pt>
                <c:pt idx="63">
                  <c:v>130940.831392861</c:v>
                </c:pt>
                <c:pt idx="64">
                  <c:v>131304.457654569</c:v>
                </c:pt>
                <c:pt idx="65">
                  <c:v>131668.083916277</c:v>
                </c:pt>
                <c:pt idx="66">
                  <c:v>132031.710177985</c:v>
                </c:pt>
                <c:pt idx="67">
                  <c:v>132395.336439694</c:v>
                </c:pt>
                <c:pt idx="68">
                  <c:v>132758.962701402</c:v>
                </c:pt>
                <c:pt idx="69">
                  <c:v>133122.58896311</c:v>
                </c:pt>
                <c:pt idx="70">
                  <c:v>133486.215224818</c:v>
                </c:pt>
                <c:pt idx="71">
                  <c:v>133849.841486526</c:v>
                </c:pt>
                <c:pt idx="72">
                  <c:v>134213.467748235</c:v>
                </c:pt>
                <c:pt idx="73">
                  <c:v>134577.094009943</c:v>
                </c:pt>
                <c:pt idx="74">
                  <c:v>134940.720271651</c:v>
                </c:pt>
                <c:pt idx="75">
                  <c:v>135304.346533359</c:v>
                </c:pt>
                <c:pt idx="76">
                  <c:v>135667.972795067</c:v>
                </c:pt>
                <c:pt idx="77">
                  <c:v>136031.599056776</c:v>
                </c:pt>
                <c:pt idx="78">
                  <c:v>136395.225318484</c:v>
                </c:pt>
                <c:pt idx="79">
                  <c:v>136758.851580192</c:v>
                </c:pt>
                <c:pt idx="80">
                  <c:v>137122.4778419</c:v>
                </c:pt>
                <c:pt idx="81">
                  <c:v>137486.104103608</c:v>
                </c:pt>
                <c:pt idx="82">
                  <c:v>137849.730365317</c:v>
                </c:pt>
                <c:pt idx="83">
                  <c:v>138213.356627025</c:v>
                </c:pt>
                <c:pt idx="84">
                  <c:v>138576.982888733</c:v>
                </c:pt>
                <c:pt idx="85">
                  <c:v>138940.609150441</c:v>
                </c:pt>
                <c:pt idx="86">
                  <c:v>139304.235412149</c:v>
                </c:pt>
                <c:pt idx="87">
                  <c:v>139667.861673858</c:v>
                </c:pt>
                <c:pt idx="88">
                  <c:v>140031.487935566</c:v>
                </c:pt>
                <c:pt idx="89">
                  <c:v>140395.114197274</c:v>
                </c:pt>
                <c:pt idx="90">
                  <c:v>140758.740458982</c:v>
                </c:pt>
                <c:pt idx="91">
                  <c:v>141122.36672069</c:v>
                </c:pt>
                <c:pt idx="92">
                  <c:v>141485.992982399</c:v>
                </c:pt>
                <c:pt idx="93">
                  <c:v>141849.619244107</c:v>
                </c:pt>
                <c:pt idx="94">
                  <c:v>142213.245505815</c:v>
                </c:pt>
                <c:pt idx="95">
                  <c:v>142576.871767523</c:v>
                </c:pt>
                <c:pt idx="96">
                  <c:v>142940.498029231</c:v>
                </c:pt>
                <c:pt idx="97">
                  <c:v>143304.12429094</c:v>
                </c:pt>
                <c:pt idx="98">
                  <c:v>143667.750552648</c:v>
                </c:pt>
                <c:pt idx="99">
                  <c:v>144031.376814356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c99c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Sheet1!$J$2:$J$101</c:f>
              <c:numCache>
                <c:formatCode>General</c:formatCode>
                <c:ptCount val="100"/>
                <c:pt idx="0">
                  <c:v>144037.75662434</c:v>
                </c:pt>
                <c:pt idx="1">
                  <c:v>144401.382886048</c:v>
                </c:pt>
                <c:pt idx="2">
                  <c:v>144765.009147756</c:v>
                </c:pt>
                <c:pt idx="3">
                  <c:v>145128.635409465</c:v>
                </c:pt>
                <c:pt idx="4">
                  <c:v>145492.261671173</c:v>
                </c:pt>
                <c:pt idx="5">
                  <c:v>145855.887932881</c:v>
                </c:pt>
                <c:pt idx="6">
                  <c:v>146219.514194589</c:v>
                </c:pt>
                <c:pt idx="7">
                  <c:v>146583.140456297</c:v>
                </c:pt>
                <c:pt idx="8">
                  <c:v>146946.766718006</c:v>
                </c:pt>
                <c:pt idx="9">
                  <c:v>147310.392979714</c:v>
                </c:pt>
                <c:pt idx="10">
                  <c:v>147674.019241422</c:v>
                </c:pt>
                <c:pt idx="11">
                  <c:v>148037.64550313</c:v>
                </c:pt>
                <c:pt idx="12">
                  <c:v>148401.271764838</c:v>
                </c:pt>
                <c:pt idx="13">
                  <c:v>148764.898026547</c:v>
                </c:pt>
                <c:pt idx="14">
                  <c:v>149128.524288255</c:v>
                </c:pt>
                <c:pt idx="15">
                  <c:v>149492.150549963</c:v>
                </c:pt>
                <c:pt idx="16">
                  <c:v>149855.776811671</c:v>
                </c:pt>
                <c:pt idx="17">
                  <c:v>150219.403073379</c:v>
                </c:pt>
                <c:pt idx="18">
                  <c:v>150583.029335087</c:v>
                </c:pt>
                <c:pt idx="19">
                  <c:v>150946.655596796</c:v>
                </c:pt>
                <c:pt idx="20">
                  <c:v>151310.281858504</c:v>
                </c:pt>
                <c:pt idx="21">
                  <c:v>151673.908120212</c:v>
                </c:pt>
                <c:pt idx="22">
                  <c:v>152037.53438192</c:v>
                </c:pt>
                <c:pt idx="23">
                  <c:v>152401.160643628</c:v>
                </c:pt>
                <c:pt idx="24">
                  <c:v>152764.786905337</c:v>
                </c:pt>
                <c:pt idx="25">
                  <c:v>153128.413167045</c:v>
                </c:pt>
                <c:pt idx="26">
                  <c:v>153492.039428753</c:v>
                </c:pt>
                <c:pt idx="27">
                  <c:v>153855.665690461</c:v>
                </c:pt>
                <c:pt idx="28">
                  <c:v>154219.291952169</c:v>
                </c:pt>
                <c:pt idx="29">
                  <c:v>154582.918213878</c:v>
                </c:pt>
                <c:pt idx="30">
                  <c:v>154946.544475586</c:v>
                </c:pt>
                <c:pt idx="31">
                  <c:v>155310.170737294</c:v>
                </c:pt>
                <c:pt idx="32">
                  <c:v>155673.796999002</c:v>
                </c:pt>
                <c:pt idx="33">
                  <c:v>156037.42326071</c:v>
                </c:pt>
                <c:pt idx="34">
                  <c:v>156401.049522419</c:v>
                </c:pt>
                <c:pt idx="35">
                  <c:v>156764.675784127</c:v>
                </c:pt>
                <c:pt idx="36">
                  <c:v>157128.302045835</c:v>
                </c:pt>
                <c:pt idx="37">
                  <c:v>157491.928307543</c:v>
                </c:pt>
                <c:pt idx="38">
                  <c:v>157855.554569251</c:v>
                </c:pt>
                <c:pt idx="39">
                  <c:v>158219.18083096</c:v>
                </c:pt>
                <c:pt idx="40">
                  <c:v>158582.807092668</c:v>
                </c:pt>
                <c:pt idx="41">
                  <c:v>158946.433354376</c:v>
                </c:pt>
                <c:pt idx="42">
                  <c:v>159310.059616084</c:v>
                </c:pt>
                <c:pt idx="43">
                  <c:v>159673.685877792</c:v>
                </c:pt>
                <c:pt idx="44">
                  <c:v>160037.3121395</c:v>
                </c:pt>
                <c:pt idx="45">
                  <c:v>160400.938401209</c:v>
                </c:pt>
                <c:pt idx="46">
                  <c:v>160764.564662917</c:v>
                </c:pt>
                <c:pt idx="47">
                  <c:v>161128.190924625</c:v>
                </c:pt>
                <c:pt idx="48">
                  <c:v>161491.817186333</c:v>
                </c:pt>
                <c:pt idx="49">
                  <c:v>161855.443448041</c:v>
                </c:pt>
                <c:pt idx="50">
                  <c:v>162219.06970975</c:v>
                </c:pt>
                <c:pt idx="51">
                  <c:v>162582.695971458</c:v>
                </c:pt>
                <c:pt idx="52">
                  <c:v>162946.322233166</c:v>
                </c:pt>
                <c:pt idx="53">
                  <c:v>163309.948494874</c:v>
                </c:pt>
                <c:pt idx="54">
                  <c:v>163673.574756582</c:v>
                </c:pt>
                <c:pt idx="55">
                  <c:v>164037.201018291</c:v>
                </c:pt>
                <c:pt idx="56">
                  <c:v>164400.827279999</c:v>
                </c:pt>
                <c:pt idx="57">
                  <c:v>164764.453541707</c:v>
                </c:pt>
                <c:pt idx="58">
                  <c:v>165128.079803415</c:v>
                </c:pt>
                <c:pt idx="59">
                  <c:v>165491.706065123</c:v>
                </c:pt>
                <c:pt idx="60">
                  <c:v>165855.332326832</c:v>
                </c:pt>
                <c:pt idx="61">
                  <c:v>166218.95858854</c:v>
                </c:pt>
                <c:pt idx="62">
                  <c:v>166582.584850248</c:v>
                </c:pt>
                <c:pt idx="63">
                  <c:v>166946.211111956</c:v>
                </c:pt>
                <c:pt idx="64">
                  <c:v>167309.837373664</c:v>
                </c:pt>
                <c:pt idx="65">
                  <c:v>167673.463635372</c:v>
                </c:pt>
                <c:pt idx="66">
                  <c:v>168037.089897081</c:v>
                </c:pt>
                <c:pt idx="67">
                  <c:v>168400.716158789</c:v>
                </c:pt>
                <c:pt idx="68">
                  <c:v>168764.342420497</c:v>
                </c:pt>
                <c:pt idx="69">
                  <c:v>169127.968682205</c:v>
                </c:pt>
                <c:pt idx="70">
                  <c:v>169491.594943913</c:v>
                </c:pt>
                <c:pt idx="71">
                  <c:v>169855.221205622</c:v>
                </c:pt>
                <c:pt idx="72">
                  <c:v>170218.84746733</c:v>
                </c:pt>
                <c:pt idx="73">
                  <c:v>170582.473729038</c:v>
                </c:pt>
                <c:pt idx="74">
                  <c:v>170946.099990746</c:v>
                </c:pt>
                <c:pt idx="75">
                  <c:v>171309.726252454</c:v>
                </c:pt>
                <c:pt idx="76">
                  <c:v>171673.352514163</c:v>
                </c:pt>
                <c:pt idx="77">
                  <c:v>172036.978775871</c:v>
                </c:pt>
                <c:pt idx="78">
                  <c:v>172400.605037579</c:v>
                </c:pt>
                <c:pt idx="79">
                  <c:v>172764.231299287</c:v>
                </c:pt>
                <c:pt idx="80">
                  <c:v>173127.857560995</c:v>
                </c:pt>
                <c:pt idx="81">
                  <c:v>173491.483822704</c:v>
                </c:pt>
                <c:pt idx="82">
                  <c:v>173855.110084412</c:v>
                </c:pt>
                <c:pt idx="83">
                  <c:v>174218.73634612</c:v>
                </c:pt>
                <c:pt idx="84">
                  <c:v>174582.362607828</c:v>
                </c:pt>
                <c:pt idx="85">
                  <c:v>174945.988869536</c:v>
                </c:pt>
                <c:pt idx="86">
                  <c:v>175309.615131245</c:v>
                </c:pt>
                <c:pt idx="87">
                  <c:v>175673.241392953</c:v>
                </c:pt>
                <c:pt idx="88">
                  <c:v>176036.867654661</c:v>
                </c:pt>
                <c:pt idx="89">
                  <c:v>176400.493916369</c:v>
                </c:pt>
                <c:pt idx="90">
                  <c:v>176764.120178077</c:v>
                </c:pt>
                <c:pt idx="91">
                  <c:v>177127.746439785</c:v>
                </c:pt>
                <c:pt idx="92">
                  <c:v>177491.372701494</c:v>
                </c:pt>
                <c:pt idx="93">
                  <c:v>177854.998963202</c:v>
                </c:pt>
                <c:pt idx="94">
                  <c:v>178218.62522491</c:v>
                </c:pt>
                <c:pt idx="95">
                  <c:v>178582.251486618</c:v>
                </c:pt>
                <c:pt idx="96">
                  <c:v>178945.877748326</c:v>
                </c:pt>
                <c:pt idx="97">
                  <c:v>179309.504010035</c:v>
                </c:pt>
                <c:pt idx="98">
                  <c:v>179673.130271743</c:v>
                </c:pt>
                <c:pt idx="99">
                  <c:v>180036.756533451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9211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Sheet1!$L$2:$L$101</c:f>
              <c:numCache>
                <c:formatCode>General</c:formatCode>
                <c:ptCount val="100"/>
                <c:pt idx="0">
                  <c:v>180041.14793244</c:v>
                </c:pt>
                <c:pt idx="1">
                  <c:v>180404.774194148</c:v>
                </c:pt>
                <c:pt idx="2">
                  <c:v>180768.400455856</c:v>
                </c:pt>
                <c:pt idx="3">
                  <c:v>181132.026717565</c:v>
                </c:pt>
                <c:pt idx="4">
                  <c:v>181495.652979273</c:v>
                </c:pt>
                <c:pt idx="5">
                  <c:v>181859.279240981</c:v>
                </c:pt>
                <c:pt idx="6">
                  <c:v>182222.905502689</c:v>
                </c:pt>
                <c:pt idx="7">
                  <c:v>182586.531764397</c:v>
                </c:pt>
                <c:pt idx="8">
                  <c:v>182950.158026106</c:v>
                </c:pt>
                <c:pt idx="9">
                  <c:v>183313.784287814</c:v>
                </c:pt>
                <c:pt idx="10">
                  <c:v>183677.410549522</c:v>
                </c:pt>
                <c:pt idx="11">
                  <c:v>184041.03681123</c:v>
                </c:pt>
                <c:pt idx="12">
                  <c:v>184404.663072938</c:v>
                </c:pt>
                <c:pt idx="13">
                  <c:v>184768.289334647</c:v>
                </c:pt>
                <c:pt idx="14">
                  <c:v>185131.915596355</c:v>
                </c:pt>
                <c:pt idx="15">
                  <c:v>185495.541858063</c:v>
                </c:pt>
                <c:pt idx="16">
                  <c:v>185859.168119771</c:v>
                </c:pt>
                <c:pt idx="17">
                  <c:v>186222.794381479</c:v>
                </c:pt>
                <c:pt idx="18">
                  <c:v>186586.420643187</c:v>
                </c:pt>
                <c:pt idx="19">
                  <c:v>186950.046904896</c:v>
                </c:pt>
                <c:pt idx="20">
                  <c:v>187313.673166604</c:v>
                </c:pt>
                <c:pt idx="21">
                  <c:v>187677.299428312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</c:v>
                </c:pt>
                <c:pt idx="26">
                  <c:v>189495.430736853</c:v>
                </c:pt>
                <c:pt idx="27">
                  <c:v>189859.056998561</c:v>
                </c:pt>
                <c:pt idx="28">
                  <c:v>190222.683260269</c:v>
                </c:pt>
                <c:pt idx="29">
                  <c:v>190586.309521978</c:v>
                </c:pt>
                <c:pt idx="30">
                  <c:v>190949.935783686</c:v>
                </c:pt>
                <c:pt idx="31">
                  <c:v>191313.562045394</c:v>
                </c:pt>
                <c:pt idx="32">
                  <c:v>191677.188307102</c:v>
                </c:pt>
                <c:pt idx="33">
                  <c:v>192040.81456881</c:v>
                </c:pt>
                <c:pt idx="34">
                  <c:v>192404.440830519</c:v>
                </c:pt>
                <c:pt idx="35">
                  <c:v>192768.067092227</c:v>
                </c:pt>
                <c:pt idx="36">
                  <c:v>193131.693353935</c:v>
                </c:pt>
                <c:pt idx="37">
                  <c:v>193495.319615643</c:v>
                </c:pt>
                <c:pt idx="38">
                  <c:v>193858.945877351</c:v>
                </c:pt>
                <c:pt idx="39">
                  <c:v>194222.572139059</c:v>
                </c:pt>
                <c:pt idx="40">
                  <c:v>194586.198400768</c:v>
                </c:pt>
                <c:pt idx="41">
                  <c:v>194949.824662476</c:v>
                </c:pt>
                <c:pt idx="42">
                  <c:v>195313.450924184</c:v>
                </c:pt>
                <c:pt idx="43">
                  <c:v>195677.077185892</c:v>
                </c:pt>
                <c:pt idx="44">
                  <c:v>196040.7034476</c:v>
                </c:pt>
                <c:pt idx="45">
                  <c:v>196404.329709309</c:v>
                </c:pt>
                <c:pt idx="46">
                  <c:v>196767.955971017</c:v>
                </c:pt>
                <c:pt idx="47">
                  <c:v>197131.582232725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</c:v>
                </c:pt>
                <c:pt idx="52">
                  <c:v>198949.713541266</c:v>
                </c:pt>
                <c:pt idx="53">
                  <c:v>199313.339802974</c:v>
                </c:pt>
                <c:pt idx="54">
                  <c:v>199676.966064682</c:v>
                </c:pt>
                <c:pt idx="55">
                  <c:v>200040.592326391</c:v>
                </c:pt>
                <c:pt idx="56">
                  <c:v>200404.218588099</c:v>
                </c:pt>
                <c:pt idx="57">
                  <c:v>200767.844849807</c:v>
                </c:pt>
                <c:pt idx="58">
                  <c:v>201131.471111515</c:v>
                </c:pt>
                <c:pt idx="59">
                  <c:v>201495.097373223</c:v>
                </c:pt>
                <c:pt idx="60">
                  <c:v>201858.723634932</c:v>
                </c:pt>
                <c:pt idx="61">
                  <c:v>202222.34989664</c:v>
                </c:pt>
                <c:pt idx="62">
                  <c:v>202585.976158348</c:v>
                </c:pt>
                <c:pt idx="63">
                  <c:v>202949.602420056</c:v>
                </c:pt>
                <c:pt idx="64">
                  <c:v>203313.228681764</c:v>
                </c:pt>
                <c:pt idx="65">
                  <c:v>203676.854943472</c:v>
                </c:pt>
                <c:pt idx="66">
                  <c:v>204040.481205181</c:v>
                </c:pt>
                <c:pt idx="67">
                  <c:v>204404.107466889</c:v>
                </c:pt>
                <c:pt idx="68">
                  <c:v>204767.733728597</c:v>
                </c:pt>
                <c:pt idx="69">
                  <c:v>205131.359990305</c:v>
                </c:pt>
                <c:pt idx="70">
                  <c:v>205494.986252013</c:v>
                </c:pt>
                <c:pt idx="71">
                  <c:v>205858.612513722</c:v>
                </c:pt>
                <c:pt idx="72">
                  <c:v>206222.23877543</c:v>
                </c:pt>
                <c:pt idx="73">
                  <c:v>206585.865037138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</c:v>
                </c:pt>
                <c:pt idx="78">
                  <c:v>208403.996345679</c:v>
                </c:pt>
                <c:pt idx="79">
                  <c:v>208767.622607387</c:v>
                </c:pt>
                <c:pt idx="80">
                  <c:v>209131.248869095</c:v>
                </c:pt>
                <c:pt idx="81">
                  <c:v>209494.875130804</c:v>
                </c:pt>
                <c:pt idx="82">
                  <c:v>209858.501392512</c:v>
                </c:pt>
                <c:pt idx="83">
                  <c:v>210222.12765422</c:v>
                </c:pt>
                <c:pt idx="84">
                  <c:v>210585.753915928</c:v>
                </c:pt>
                <c:pt idx="85">
                  <c:v>210949.380177636</c:v>
                </c:pt>
                <c:pt idx="86">
                  <c:v>211313.006439345</c:v>
                </c:pt>
                <c:pt idx="87">
                  <c:v>211676.632701053</c:v>
                </c:pt>
                <c:pt idx="88">
                  <c:v>212040.258962761</c:v>
                </c:pt>
                <c:pt idx="89">
                  <c:v>212403.885224469</c:v>
                </c:pt>
                <c:pt idx="90">
                  <c:v>212767.511486177</c:v>
                </c:pt>
                <c:pt idx="91">
                  <c:v>213131.137747885</c:v>
                </c:pt>
                <c:pt idx="92">
                  <c:v>213494.764009594</c:v>
                </c:pt>
                <c:pt idx="93">
                  <c:v>213858.390271302</c:v>
                </c:pt>
                <c:pt idx="94">
                  <c:v>214222.01653301</c:v>
                </c:pt>
                <c:pt idx="95">
                  <c:v>214585.642794718</c:v>
                </c:pt>
                <c:pt idx="96">
                  <c:v>214949.269056426</c:v>
                </c:pt>
                <c:pt idx="97">
                  <c:v>215312.895318135</c:v>
                </c:pt>
                <c:pt idx="98">
                  <c:v>215676.521579843</c:v>
                </c:pt>
                <c:pt idx="99">
                  <c:v>216040.147841551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0e62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Sheet1!$N$2:$N$101</c:f>
              <c:numCache>
                <c:formatCode>General</c:formatCode>
                <c:ptCount val="100"/>
                <c:pt idx="0">
                  <c:v>216046.546658535</c:v>
                </c:pt>
                <c:pt idx="1">
                  <c:v>216410.172920243</c:v>
                </c:pt>
                <c:pt idx="2">
                  <c:v>216773.799181951</c:v>
                </c:pt>
                <c:pt idx="3">
                  <c:v>217137.42544366</c:v>
                </c:pt>
                <c:pt idx="4">
                  <c:v>217501.051705368</c:v>
                </c:pt>
                <c:pt idx="5">
                  <c:v>217864.677967076</c:v>
                </c:pt>
                <c:pt idx="6">
                  <c:v>218228.304228784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</c:v>
                </c:pt>
                <c:pt idx="11">
                  <c:v>220046.435537325</c:v>
                </c:pt>
                <c:pt idx="12">
                  <c:v>220410.061799033</c:v>
                </c:pt>
                <c:pt idx="13">
                  <c:v>220773.688060742</c:v>
                </c:pt>
                <c:pt idx="14">
                  <c:v>221137.31432245</c:v>
                </c:pt>
                <c:pt idx="15">
                  <c:v>221500.940584158</c:v>
                </c:pt>
                <c:pt idx="16">
                  <c:v>221864.566845866</c:v>
                </c:pt>
                <c:pt idx="17">
                  <c:v>222228.193107574</c:v>
                </c:pt>
                <c:pt idx="18">
                  <c:v>222591.819369282</c:v>
                </c:pt>
                <c:pt idx="19">
                  <c:v>222955.445630991</c:v>
                </c:pt>
                <c:pt idx="20">
                  <c:v>223319.071892699</c:v>
                </c:pt>
                <c:pt idx="21">
                  <c:v>223682.698154407</c:v>
                </c:pt>
                <c:pt idx="22">
                  <c:v>224046.324416115</c:v>
                </c:pt>
                <c:pt idx="23">
                  <c:v>224409.950677823</c:v>
                </c:pt>
                <c:pt idx="24">
                  <c:v>224773.576939532</c:v>
                </c:pt>
                <c:pt idx="25">
                  <c:v>225137.20320124</c:v>
                </c:pt>
                <c:pt idx="26">
                  <c:v>225500.829462948</c:v>
                </c:pt>
                <c:pt idx="27">
                  <c:v>225864.455724656</c:v>
                </c:pt>
                <c:pt idx="28">
                  <c:v>226228.081986364</c:v>
                </c:pt>
                <c:pt idx="29">
                  <c:v>226591.708248073</c:v>
                </c:pt>
                <c:pt idx="30">
                  <c:v>226955.334509781</c:v>
                </c:pt>
                <c:pt idx="31">
                  <c:v>227318.960771489</c:v>
                </c:pt>
                <c:pt idx="32">
                  <c:v>227682.587033197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</c:v>
                </c:pt>
                <c:pt idx="37">
                  <c:v>229500.718341738</c:v>
                </c:pt>
                <c:pt idx="38">
                  <c:v>229864.344603446</c:v>
                </c:pt>
                <c:pt idx="39">
                  <c:v>230227.970865155</c:v>
                </c:pt>
                <c:pt idx="40">
                  <c:v>230591.597126863</c:v>
                </c:pt>
                <c:pt idx="41">
                  <c:v>230955.223388571</c:v>
                </c:pt>
                <c:pt idx="42">
                  <c:v>231318.849650279</c:v>
                </c:pt>
                <c:pt idx="43">
                  <c:v>231682.475911987</c:v>
                </c:pt>
                <c:pt idx="44">
                  <c:v>232046.102173695</c:v>
                </c:pt>
                <c:pt idx="45">
                  <c:v>232409.728435404</c:v>
                </c:pt>
                <c:pt idx="46">
                  <c:v>232773.354697112</c:v>
                </c:pt>
                <c:pt idx="47">
                  <c:v>233136.98095882</c:v>
                </c:pt>
                <c:pt idx="48">
                  <c:v>233500.607220528</c:v>
                </c:pt>
                <c:pt idx="49">
                  <c:v>233864.233482236</c:v>
                </c:pt>
                <c:pt idx="50">
                  <c:v>234227.859743945</c:v>
                </c:pt>
                <c:pt idx="51">
                  <c:v>234591.486005653</c:v>
                </c:pt>
                <c:pt idx="52">
                  <c:v>234955.112267361</c:v>
                </c:pt>
                <c:pt idx="53">
                  <c:v>235318.738529069</c:v>
                </c:pt>
                <c:pt idx="54">
                  <c:v>235682.364790777</c:v>
                </c:pt>
                <c:pt idx="55">
                  <c:v>236045.991052486</c:v>
                </c:pt>
                <c:pt idx="56">
                  <c:v>236409.617314194</c:v>
                </c:pt>
                <c:pt idx="57">
                  <c:v>236773.243575902</c:v>
                </c:pt>
                <c:pt idx="58">
                  <c:v>237136.86983761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</c:v>
                </c:pt>
                <c:pt idx="63">
                  <c:v>238955.001146151</c:v>
                </c:pt>
                <c:pt idx="64">
                  <c:v>239318.627407859</c:v>
                </c:pt>
                <c:pt idx="65">
                  <c:v>239682.253669567</c:v>
                </c:pt>
                <c:pt idx="66">
                  <c:v>240045.879931276</c:v>
                </c:pt>
                <c:pt idx="67">
                  <c:v>240409.506192984</c:v>
                </c:pt>
                <c:pt idx="68">
                  <c:v>240773.132454692</c:v>
                </c:pt>
                <c:pt idx="69">
                  <c:v>241136.7587164</c:v>
                </c:pt>
                <c:pt idx="70">
                  <c:v>241500.384978108</c:v>
                </c:pt>
                <c:pt idx="71">
                  <c:v>241864.011239817</c:v>
                </c:pt>
                <c:pt idx="72">
                  <c:v>242227.637501525</c:v>
                </c:pt>
                <c:pt idx="73">
                  <c:v>242591.263763233</c:v>
                </c:pt>
                <c:pt idx="74">
                  <c:v>242954.890024941</c:v>
                </c:pt>
                <c:pt idx="75">
                  <c:v>243318.516286649</c:v>
                </c:pt>
                <c:pt idx="76">
                  <c:v>243682.142548358</c:v>
                </c:pt>
                <c:pt idx="77">
                  <c:v>244045.768810066</c:v>
                </c:pt>
                <c:pt idx="78">
                  <c:v>244409.395071774</c:v>
                </c:pt>
                <c:pt idx="79">
                  <c:v>244773.021333482</c:v>
                </c:pt>
                <c:pt idx="80">
                  <c:v>245136.64759519</c:v>
                </c:pt>
                <c:pt idx="81">
                  <c:v>245500.273856899</c:v>
                </c:pt>
                <c:pt idx="82">
                  <c:v>245863.900118607</c:v>
                </c:pt>
                <c:pt idx="83">
                  <c:v>246227.526380315</c:v>
                </c:pt>
                <c:pt idx="84">
                  <c:v>246591.152642023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</c:v>
                </c:pt>
                <c:pt idx="89">
                  <c:v>248409.283950564</c:v>
                </c:pt>
                <c:pt idx="90">
                  <c:v>248772.910212272</c:v>
                </c:pt>
                <c:pt idx="91">
                  <c:v>249136.53647398</c:v>
                </c:pt>
                <c:pt idx="92">
                  <c:v>249500.162735689</c:v>
                </c:pt>
                <c:pt idx="93">
                  <c:v>249863.788997397</c:v>
                </c:pt>
                <c:pt idx="94">
                  <c:v>250227.415259105</c:v>
                </c:pt>
                <c:pt idx="95">
                  <c:v>250591.041520813</c:v>
                </c:pt>
                <c:pt idx="96">
                  <c:v>250954.667782521</c:v>
                </c:pt>
                <c:pt idx="97">
                  <c:v>251318.29404423</c:v>
                </c:pt>
                <c:pt idx="98">
                  <c:v>251681.920305938</c:v>
                </c:pt>
                <c:pt idx="99">
                  <c:v>252045.546567646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23f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Sheet1!$P$2:$P$101</c:f>
              <c:numCache>
                <c:formatCode>General</c:formatCode>
                <c:ptCount val="100"/>
                <c:pt idx="0">
                  <c:v>252049.973967635</c:v>
                </c:pt>
                <c:pt idx="1">
                  <c:v>252413.600229343</c:v>
                </c:pt>
                <c:pt idx="2">
                  <c:v>252777.226491051</c:v>
                </c:pt>
                <c:pt idx="3">
                  <c:v>253140.85275276</c:v>
                </c:pt>
                <c:pt idx="4">
                  <c:v>253504.479014468</c:v>
                </c:pt>
                <c:pt idx="5">
                  <c:v>253868.105276176</c:v>
                </c:pt>
                <c:pt idx="6">
                  <c:v>254231.731537884</c:v>
                </c:pt>
                <c:pt idx="7">
                  <c:v>254595.357799592</c:v>
                </c:pt>
                <c:pt idx="8">
                  <c:v>254958.984061301</c:v>
                </c:pt>
                <c:pt idx="9">
                  <c:v>255322.610323009</c:v>
                </c:pt>
                <c:pt idx="10">
                  <c:v>255686.236584717</c:v>
                </c:pt>
                <c:pt idx="11">
                  <c:v>256049.862846425</c:v>
                </c:pt>
                <c:pt idx="12">
                  <c:v>256413.489108133</c:v>
                </c:pt>
                <c:pt idx="13">
                  <c:v>256777.115369842</c:v>
                </c:pt>
                <c:pt idx="14">
                  <c:v>257140.74163155</c:v>
                </c:pt>
                <c:pt idx="15">
                  <c:v>257504.367893258</c:v>
                </c:pt>
                <c:pt idx="16">
                  <c:v>257867.994154966</c:v>
                </c:pt>
                <c:pt idx="17">
                  <c:v>258231.620416674</c:v>
                </c:pt>
                <c:pt idx="18">
                  <c:v>258595.246678382</c:v>
                </c:pt>
                <c:pt idx="19">
                  <c:v>258958.872940091</c:v>
                </c:pt>
                <c:pt idx="20">
                  <c:v>259322.499201799</c:v>
                </c:pt>
                <c:pt idx="21">
                  <c:v>259686.125463507</c:v>
                </c:pt>
                <c:pt idx="22">
                  <c:v>260049.751725215</c:v>
                </c:pt>
                <c:pt idx="23">
                  <c:v>260413.377986923</c:v>
                </c:pt>
                <c:pt idx="24">
                  <c:v>260777.004248632</c:v>
                </c:pt>
                <c:pt idx="25">
                  <c:v>261140.63051034</c:v>
                </c:pt>
                <c:pt idx="26">
                  <c:v>261504.256772048</c:v>
                </c:pt>
                <c:pt idx="27">
                  <c:v>261867.883033756</c:v>
                </c:pt>
                <c:pt idx="28">
                  <c:v>262231.509295464</c:v>
                </c:pt>
                <c:pt idx="29">
                  <c:v>262595.135557173</c:v>
                </c:pt>
                <c:pt idx="30">
                  <c:v>262958.761818881</c:v>
                </c:pt>
                <c:pt idx="31">
                  <c:v>263322.388080589</c:v>
                </c:pt>
                <c:pt idx="32">
                  <c:v>263686.014342297</c:v>
                </c:pt>
                <c:pt idx="33">
                  <c:v>264049.640604005</c:v>
                </c:pt>
                <c:pt idx="34">
                  <c:v>264413.266865714</c:v>
                </c:pt>
                <c:pt idx="35">
                  <c:v>264776.893127422</c:v>
                </c:pt>
                <c:pt idx="36">
                  <c:v>265140.51938913</c:v>
                </c:pt>
                <c:pt idx="37">
                  <c:v>265504.145650838</c:v>
                </c:pt>
                <c:pt idx="38">
                  <c:v>265867.771912546</c:v>
                </c:pt>
                <c:pt idx="39">
                  <c:v>266231.398174254</c:v>
                </c:pt>
                <c:pt idx="40">
                  <c:v>266595.024435963</c:v>
                </c:pt>
                <c:pt idx="41">
                  <c:v>266958.650697671</c:v>
                </c:pt>
                <c:pt idx="42">
                  <c:v>267322.276959379</c:v>
                </c:pt>
                <c:pt idx="43">
                  <c:v>267685.903221087</c:v>
                </c:pt>
                <c:pt idx="44">
                  <c:v>268049.529482795</c:v>
                </c:pt>
                <c:pt idx="45">
                  <c:v>268413.155744504</c:v>
                </c:pt>
                <c:pt idx="46">
                  <c:v>268776.782006212</c:v>
                </c:pt>
                <c:pt idx="47">
                  <c:v>269140.40826792</c:v>
                </c:pt>
                <c:pt idx="48">
                  <c:v>269504.034529628</c:v>
                </c:pt>
                <c:pt idx="49">
                  <c:v>269867.660791336</c:v>
                </c:pt>
                <c:pt idx="50">
                  <c:v>270231.287053045</c:v>
                </c:pt>
                <c:pt idx="51">
                  <c:v>270594.913314753</c:v>
                </c:pt>
                <c:pt idx="52">
                  <c:v>270958.539576461</c:v>
                </c:pt>
                <c:pt idx="53">
                  <c:v>271322.165838169</c:v>
                </c:pt>
                <c:pt idx="54">
                  <c:v>271685.792099877</c:v>
                </c:pt>
                <c:pt idx="55">
                  <c:v>272049.418361586</c:v>
                </c:pt>
                <c:pt idx="56">
                  <c:v>272413.044623294</c:v>
                </c:pt>
                <c:pt idx="57">
                  <c:v>272776.670885002</c:v>
                </c:pt>
                <c:pt idx="58">
                  <c:v>273140.29714671</c:v>
                </c:pt>
                <c:pt idx="59">
                  <c:v>273503.923408418</c:v>
                </c:pt>
                <c:pt idx="60">
                  <c:v>273867.549670127</c:v>
                </c:pt>
                <c:pt idx="61">
                  <c:v>274231.175931835</c:v>
                </c:pt>
                <c:pt idx="62">
                  <c:v>274594.802193543</c:v>
                </c:pt>
                <c:pt idx="63">
                  <c:v>274958.428455251</c:v>
                </c:pt>
                <c:pt idx="64">
                  <c:v>275322.054716959</c:v>
                </c:pt>
                <c:pt idx="65">
                  <c:v>275685.680978667</c:v>
                </c:pt>
                <c:pt idx="66">
                  <c:v>276049.307240376</c:v>
                </c:pt>
                <c:pt idx="67">
                  <c:v>276412.933502084</c:v>
                </c:pt>
                <c:pt idx="68">
                  <c:v>276776.559763792</c:v>
                </c:pt>
                <c:pt idx="69">
                  <c:v>277140.1860255</c:v>
                </c:pt>
                <c:pt idx="70">
                  <c:v>277503.812287208</c:v>
                </c:pt>
                <c:pt idx="71">
                  <c:v>277867.438548917</c:v>
                </c:pt>
                <c:pt idx="72">
                  <c:v>278231.064810625</c:v>
                </c:pt>
                <c:pt idx="73">
                  <c:v>278594.691072333</c:v>
                </c:pt>
                <c:pt idx="74">
                  <c:v>278958.317334041</c:v>
                </c:pt>
                <c:pt idx="75">
                  <c:v>279321.943595749</c:v>
                </c:pt>
                <c:pt idx="76">
                  <c:v>279685.569857458</c:v>
                </c:pt>
                <c:pt idx="77">
                  <c:v>280049.196119166</c:v>
                </c:pt>
                <c:pt idx="78">
                  <c:v>280412.822380874</c:v>
                </c:pt>
                <c:pt idx="79">
                  <c:v>280776.448642582</c:v>
                </c:pt>
                <c:pt idx="80">
                  <c:v>281140.07490429</c:v>
                </c:pt>
                <c:pt idx="81">
                  <c:v>281503.701165999</c:v>
                </c:pt>
                <c:pt idx="82">
                  <c:v>281867.327427707</c:v>
                </c:pt>
                <c:pt idx="83">
                  <c:v>282230.953689415</c:v>
                </c:pt>
                <c:pt idx="84">
                  <c:v>282594.579951123</c:v>
                </c:pt>
                <c:pt idx="85">
                  <c:v>282958.206212831</c:v>
                </c:pt>
                <c:pt idx="86">
                  <c:v>283321.83247454</c:v>
                </c:pt>
                <c:pt idx="87">
                  <c:v>283685.458736248</c:v>
                </c:pt>
                <c:pt idx="88">
                  <c:v>284049.084997956</c:v>
                </c:pt>
                <c:pt idx="89">
                  <c:v>284412.711259664</c:v>
                </c:pt>
                <c:pt idx="90">
                  <c:v>284776.337521372</c:v>
                </c:pt>
                <c:pt idx="91">
                  <c:v>285139.96378308</c:v>
                </c:pt>
                <c:pt idx="92">
                  <c:v>285503.590044789</c:v>
                </c:pt>
                <c:pt idx="93">
                  <c:v>285867.216306497</c:v>
                </c:pt>
                <c:pt idx="94">
                  <c:v>286230.842568205</c:v>
                </c:pt>
                <c:pt idx="95">
                  <c:v>286594.468829913</c:v>
                </c:pt>
                <c:pt idx="96">
                  <c:v>286958.095091621</c:v>
                </c:pt>
                <c:pt idx="97">
                  <c:v>287321.72135333</c:v>
                </c:pt>
                <c:pt idx="98">
                  <c:v>287685.347615038</c:v>
                </c:pt>
                <c:pt idx="99">
                  <c:v>288048.973876746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6225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Sheet1!$R$2:$R$101</c:f>
              <c:numCache>
                <c:formatCode>General</c:formatCode>
                <c:ptCount val="100"/>
                <c:pt idx="0">
                  <c:v>288055.55969673</c:v>
                </c:pt>
                <c:pt idx="1">
                  <c:v>288419.185958438</c:v>
                </c:pt>
                <c:pt idx="2">
                  <c:v>288782.812220146</c:v>
                </c:pt>
                <c:pt idx="3">
                  <c:v>289146.438481855</c:v>
                </c:pt>
                <c:pt idx="4">
                  <c:v>289510.064743563</c:v>
                </c:pt>
                <c:pt idx="5">
                  <c:v>289873.691005271</c:v>
                </c:pt>
                <c:pt idx="6">
                  <c:v>290237.317266979</c:v>
                </c:pt>
                <c:pt idx="7">
                  <c:v>290600.943528687</c:v>
                </c:pt>
                <c:pt idx="8">
                  <c:v>290964.569790396</c:v>
                </c:pt>
                <c:pt idx="9">
                  <c:v>291328.196052104</c:v>
                </c:pt>
                <c:pt idx="10">
                  <c:v>291691.822313812</c:v>
                </c:pt>
                <c:pt idx="11">
                  <c:v>292055.44857552</c:v>
                </c:pt>
                <c:pt idx="12">
                  <c:v>292419.074837228</c:v>
                </c:pt>
                <c:pt idx="13">
                  <c:v>292782.701098937</c:v>
                </c:pt>
                <c:pt idx="14">
                  <c:v>293146.327360645</c:v>
                </c:pt>
                <c:pt idx="15">
                  <c:v>293509.953622353</c:v>
                </c:pt>
                <c:pt idx="16">
                  <c:v>293873.579884061</c:v>
                </c:pt>
                <c:pt idx="17">
                  <c:v>294237.206145769</c:v>
                </c:pt>
                <c:pt idx="18">
                  <c:v>294600.832407477</c:v>
                </c:pt>
                <c:pt idx="19">
                  <c:v>294964.458669186</c:v>
                </c:pt>
                <c:pt idx="20">
                  <c:v>295328.084930894</c:v>
                </c:pt>
                <c:pt idx="21">
                  <c:v>295691.711192602</c:v>
                </c:pt>
                <c:pt idx="22">
                  <c:v>296055.33745431</c:v>
                </c:pt>
                <c:pt idx="23">
                  <c:v>296418.963716018</c:v>
                </c:pt>
                <c:pt idx="24">
                  <c:v>296782.589977727</c:v>
                </c:pt>
                <c:pt idx="25">
                  <c:v>297146.216239435</c:v>
                </c:pt>
                <c:pt idx="26">
                  <c:v>297509.842501143</c:v>
                </c:pt>
                <c:pt idx="27">
                  <c:v>297873.468762851</c:v>
                </c:pt>
                <c:pt idx="28">
                  <c:v>298237.095024559</c:v>
                </c:pt>
                <c:pt idx="29">
                  <c:v>298600.721286268</c:v>
                </c:pt>
                <c:pt idx="30">
                  <c:v>298964.347547976</c:v>
                </c:pt>
                <c:pt idx="31">
                  <c:v>299327.973809684</c:v>
                </c:pt>
                <c:pt idx="32">
                  <c:v>299691.600071392</c:v>
                </c:pt>
                <c:pt idx="33">
                  <c:v>300055.2263331</c:v>
                </c:pt>
                <c:pt idx="34">
                  <c:v>300418.852594809</c:v>
                </c:pt>
                <c:pt idx="35">
                  <c:v>300782.478856517</c:v>
                </c:pt>
                <c:pt idx="36">
                  <c:v>301146.105118225</c:v>
                </c:pt>
                <c:pt idx="37">
                  <c:v>301509.731379933</c:v>
                </c:pt>
                <c:pt idx="38">
                  <c:v>301873.357641641</c:v>
                </c:pt>
                <c:pt idx="39">
                  <c:v>302236.98390335</c:v>
                </c:pt>
                <c:pt idx="40">
                  <c:v>302600.610165058</c:v>
                </c:pt>
                <c:pt idx="41">
                  <c:v>302964.236426766</c:v>
                </c:pt>
                <c:pt idx="42">
                  <c:v>303327.862688474</c:v>
                </c:pt>
                <c:pt idx="43">
                  <c:v>303691.488950182</c:v>
                </c:pt>
                <c:pt idx="44">
                  <c:v>304055.11521189</c:v>
                </c:pt>
                <c:pt idx="45">
                  <c:v>304418.741473599</c:v>
                </c:pt>
                <c:pt idx="46">
                  <c:v>304782.367735307</c:v>
                </c:pt>
                <c:pt idx="47">
                  <c:v>305145.993997015</c:v>
                </c:pt>
                <c:pt idx="48">
                  <c:v>305509.620258723</c:v>
                </c:pt>
                <c:pt idx="49">
                  <c:v>305873.246520431</c:v>
                </c:pt>
                <c:pt idx="50">
                  <c:v>306236.87278214</c:v>
                </c:pt>
                <c:pt idx="51">
                  <c:v>306600.499043848</c:v>
                </c:pt>
                <c:pt idx="52">
                  <c:v>306964.125305556</c:v>
                </c:pt>
                <c:pt idx="53">
                  <c:v>307327.751567264</c:v>
                </c:pt>
                <c:pt idx="54">
                  <c:v>307691.377828972</c:v>
                </c:pt>
                <c:pt idx="55">
                  <c:v>308055.004090681</c:v>
                </c:pt>
                <c:pt idx="56">
                  <c:v>308418.630352389</c:v>
                </c:pt>
                <c:pt idx="57">
                  <c:v>308782.256614097</c:v>
                </c:pt>
                <c:pt idx="58">
                  <c:v>309145.882875805</c:v>
                </c:pt>
                <c:pt idx="59">
                  <c:v>309509.509137513</c:v>
                </c:pt>
                <c:pt idx="60">
                  <c:v>309873.135399222</c:v>
                </c:pt>
                <c:pt idx="61">
                  <c:v>310236.76166093</c:v>
                </c:pt>
                <c:pt idx="62">
                  <c:v>310600.387922638</c:v>
                </c:pt>
                <c:pt idx="63">
                  <c:v>310964.014184346</c:v>
                </c:pt>
                <c:pt idx="64">
                  <c:v>311327.640446054</c:v>
                </c:pt>
                <c:pt idx="65">
                  <c:v>311691.266707763</c:v>
                </c:pt>
                <c:pt idx="66">
                  <c:v>312054.892969471</c:v>
                </c:pt>
                <c:pt idx="67">
                  <c:v>312418.519231179</c:v>
                </c:pt>
                <c:pt idx="68">
                  <c:v>312782.145492887</c:v>
                </c:pt>
                <c:pt idx="69">
                  <c:v>313145.771754595</c:v>
                </c:pt>
                <c:pt idx="70">
                  <c:v>313509.398016303</c:v>
                </c:pt>
                <c:pt idx="71">
                  <c:v>313873.024278012</c:v>
                </c:pt>
                <c:pt idx="72">
                  <c:v>314236.65053972</c:v>
                </c:pt>
                <c:pt idx="73">
                  <c:v>314600.276801428</c:v>
                </c:pt>
                <c:pt idx="74">
                  <c:v>314963.903063136</c:v>
                </c:pt>
                <c:pt idx="75">
                  <c:v>315327.529324844</c:v>
                </c:pt>
                <c:pt idx="76">
                  <c:v>315691.155586553</c:v>
                </c:pt>
                <c:pt idx="77">
                  <c:v>316054.781848261</c:v>
                </c:pt>
                <c:pt idx="78">
                  <c:v>316418.408109969</c:v>
                </c:pt>
                <c:pt idx="79">
                  <c:v>316782.034371677</c:v>
                </c:pt>
                <c:pt idx="80">
                  <c:v>317145.660633385</c:v>
                </c:pt>
                <c:pt idx="81">
                  <c:v>317509.286895094</c:v>
                </c:pt>
                <c:pt idx="82">
                  <c:v>317872.913156802</c:v>
                </c:pt>
                <c:pt idx="83">
                  <c:v>318236.53941851</c:v>
                </c:pt>
                <c:pt idx="84">
                  <c:v>318600.165680218</c:v>
                </c:pt>
                <c:pt idx="85">
                  <c:v>318963.791941926</c:v>
                </c:pt>
                <c:pt idx="86">
                  <c:v>319327.418203635</c:v>
                </c:pt>
                <c:pt idx="87">
                  <c:v>319691.044465343</c:v>
                </c:pt>
                <c:pt idx="88">
                  <c:v>320054.670727051</c:v>
                </c:pt>
                <c:pt idx="89">
                  <c:v>320418.296988759</c:v>
                </c:pt>
                <c:pt idx="90">
                  <c:v>320781.923250467</c:v>
                </c:pt>
                <c:pt idx="91">
                  <c:v>321145.549512176</c:v>
                </c:pt>
                <c:pt idx="92">
                  <c:v>321509.175773884</c:v>
                </c:pt>
                <c:pt idx="93">
                  <c:v>321872.802035592</c:v>
                </c:pt>
                <c:pt idx="94">
                  <c:v>322236.4282973</c:v>
                </c:pt>
                <c:pt idx="95">
                  <c:v>322600.054559008</c:v>
                </c:pt>
                <c:pt idx="96">
                  <c:v>322963.680820716</c:v>
                </c:pt>
                <c:pt idx="97">
                  <c:v>323327.307082425</c:v>
                </c:pt>
                <c:pt idx="98">
                  <c:v>323690.933344133</c:v>
                </c:pt>
                <c:pt idx="99">
                  <c:v>324054.559605841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5502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Sheet1!$T$2:$T$101</c:f>
              <c:numCache>
                <c:formatCode>General</c:formatCode>
                <c:ptCount val="100"/>
                <c:pt idx="0">
                  <c:v>324059.01900583</c:v>
                </c:pt>
                <c:pt idx="1">
                  <c:v>324422.645267538</c:v>
                </c:pt>
                <c:pt idx="2">
                  <c:v>324786.271529246</c:v>
                </c:pt>
                <c:pt idx="3">
                  <c:v>325149.897790955</c:v>
                </c:pt>
                <c:pt idx="4">
                  <c:v>325513.524052663</c:v>
                </c:pt>
                <c:pt idx="5">
                  <c:v>325877.150314371</c:v>
                </c:pt>
                <c:pt idx="6">
                  <c:v>326240.776576079</c:v>
                </c:pt>
                <c:pt idx="7">
                  <c:v>326604.402837787</c:v>
                </c:pt>
                <c:pt idx="8">
                  <c:v>326968.029099496</c:v>
                </c:pt>
                <c:pt idx="9">
                  <c:v>327331.655361204</c:v>
                </c:pt>
                <c:pt idx="10">
                  <c:v>327695.281622912</c:v>
                </c:pt>
                <c:pt idx="11">
                  <c:v>328058.90788462</c:v>
                </c:pt>
                <c:pt idx="12">
                  <c:v>328422.534146328</c:v>
                </c:pt>
                <c:pt idx="13">
                  <c:v>328786.160408037</c:v>
                </c:pt>
                <c:pt idx="14">
                  <c:v>329149.786669745</c:v>
                </c:pt>
                <c:pt idx="15">
                  <c:v>329513.412931453</c:v>
                </c:pt>
                <c:pt idx="16">
                  <c:v>329877.039193161</c:v>
                </c:pt>
                <c:pt idx="17">
                  <c:v>330240.665454869</c:v>
                </c:pt>
                <c:pt idx="18">
                  <c:v>330604.291716577</c:v>
                </c:pt>
                <c:pt idx="19">
                  <c:v>330967.917978286</c:v>
                </c:pt>
                <c:pt idx="20">
                  <c:v>331331.544239994</c:v>
                </c:pt>
                <c:pt idx="21">
                  <c:v>331695.170501702</c:v>
                </c:pt>
                <c:pt idx="22">
                  <c:v>332058.79676341</c:v>
                </c:pt>
                <c:pt idx="23">
                  <c:v>332422.423025118</c:v>
                </c:pt>
                <c:pt idx="24">
                  <c:v>332786.049286827</c:v>
                </c:pt>
                <c:pt idx="25">
                  <c:v>333149.675548535</c:v>
                </c:pt>
                <c:pt idx="26">
                  <c:v>333513.301810243</c:v>
                </c:pt>
                <c:pt idx="27">
                  <c:v>333876.928071951</c:v>
                </c:pt>
                <c:pt idx="28">
                  <c:v>334240.554333659</c:v>
                </c:pt>
                <c:pt idx="29">
                  <c:v>334604.180595368</c:v>
                </c:pt>
                <c:pt idx="30">
                  <c:v>334967.806857076</c:v>
                </c:pt>
                <c:pt idx="31">
                  <c:v>335331.433118784</c:v>
                </c:pt>
                <c:pt idx="32">
                  <c:v>335695.059380492</c:v>
                </c:pt>
                <c:pt idx="33">
                  <c:v>336058.6856422</c:v>
                </c:pt>
                <c:pt idx="34">
                  <c:v>336422.311903909</c:v>
                </c:pt>
                <c:pt idx="35">
                  <c:v>336785.938165617</c:v>
                </c:pt>
                <c:pt idx="36">
                  <c:v>337149.564427325</c:v>
                </c:pt>
                <c:pt idx="37">
                  <c:v>337513.190689033</c:v>
                </c:pt>
                <c:pt idx="38">
                  <c:v>337876.816950741</c:v>
                </c:pt>
                <c:pt idx="39">
                  <c:v>338240.44321245</c:v>
                </c:pt>
                <c:pt idx="40">
                  <c:v>338604.069474158</c:v>
                </c:pt>
                <c:pt idx="41">
                  <c:v>338967.695735866</c:v>
                </c:pt>
                <c:pt idx="42">
                  <c:v>339331.321997574</c:v>
                </c:pt>
                <c:pt idx="43">
                  <c:v>339694.948259282</c:v>
                </c:pt>
                <c:pt idx="44">
                  <c:v>340058.57452099</c:v>
                </c:pt>
                <c:pt idx="45">
                  <c:v>340422.200782699</c:v>
                </c:pt>
                <c:pt idx="46">
                  <c:v>340785.827044407</c:v>
                </c:pt>
                <c:pt idx="47">
                  <c:v>341149.453306115</c:v>
                </c:pt>
                <c:pt idx="48">
                  <c:v>341513.079567823</c:v>
                </c:pt>
                <c:pt idx="49">
                  <c:v>341876.705829531</c:v>
                </c:pt>
                <c:pt idx="50">
                  <c:v>342240.33209124</c:v>
                </c:pt>
                <c:pt idx="51">
                  <c:v>342603.958352948</c:v>
                </c:pt>
                <c:pt idx="52">
                  <c:v>342967.584614656</c:v>
                </c:pt>
                <c:pt idx="53">
                  <c:v>343331.210876364</c:v>
                </c:pt>
                <c:pt idx="54">
                  <c:v>343694.837138072</c:v>
                </c:pt>
                <c:pt idx="55">
                  <c:v>344058.463399781</c:v>
                </c:pt>
                <c:pt idx="56">
                  <c:v>344422.089661489</c:v>
                </c:pt>
                <c:pt idx="57">
                  <c:v>344785.715923197</c:v>
                </c:pt>
                <c:pt idx="58">
                  <c:v>345149.342184905</c:v>
                </c:pt>
                <c:pt idx="59">
                  <c:v>345512.968446613</c:v>
                </c:pt>
                <c:pt idx="60">
                  <c:v>345876.594708322</c:v>
                </c:pt>
                <c:pt idx="61">
                  <c:v>346240.22097003</c:v>
                </c:pt>
                <c:pt idx="62">
                  <c:v>346603.847231738</c:v>
                </c:pt>
                <c:pt idx="63">
                  <c:v>346967.473493446</c:v>
                </c:pt>
                <c:pt idx="64">
                  <c:v>347331.099755154</c:v>
                </c:pt>
                <c:pt idx="65">
                  <c:v>347694.726016863</c:v>
                </c:pt>
                <c:pt idx="66">
                  <c:v>348058.352278571</c:v>
                </c:pt>
                <c:pt idx="67">
                  <c:v>348421.978540279</c:v>
                </c:pt>
                <c:pt idx="68">
                  <c:v>348785.604801987</c:v>
                </c:pt>
                <c:pt idx="69">
                  <c:v>349149.231063695</c:v>
                </c:pt>
                <c:pt idx="70">
                  <c:v>349512.857325403</c:v>
                </c:pt>
                <c:pt idx="71">
                  <c:v>349876.483587112</c:v>
                </c:pt>
                <c:pt idx="72">
                  <c:v>350240.10984882</c:v>
                </c:pt>
                <c:pt idx="73">
                  <c:v>350603.736110528</c:v>
                </c:pt>
                <c:pt idx="74">
                  <c:v>350967.362372236</c:v>
                </c:pt>
                <c:pt idx="75">
                  <c:v>351330.988633944</c:v>
                </c:pt>
                <c:pt idx="76">
                  <c:v>351694.614895653</c:v>
                </c:pt>
                <c:pt idx="77">
                  <c:v>352058.241157361</c:v>
                </c:pt>
                <c:pt idx="78">
                  <c:v>352421.867419069</c:v>
                </c:pt>
                <c:pt idx="79">
                  <c:v>352785.493680777</c:v>
                </c:pt>
                <c:pt idx="80">
                  <c:v>353149.119942485</c:v>
                </c:pt>
                <c:pt idx="81">
                  <c:v>353512.746204194</c:v>
                </c:pt>
                <c:pt idx="82">
                  <c:v>353876.372465902</c:v>
                </c:pt>
                <c:pt idx="83">
                  <c:v>354239.99872761</c:v>
                </c:pt>
                <c:pt idx="84">
                  <c:v>354603.624989318</c:v>
                </c:pt>
                <c:pt idx="85">
                  <c:v>354967.251251026</c:v>
                </c:pt>
                <c:pt idx="86">
                  <c:v>355330.877512735</c:v>
                </c:pt>
                <c:pt idx="87">
                  <c:v>355694.503774443</c:v>
                </c:pt>
                <c:pt idx="88">
                  <c:v>356058.130036151</c:v>
                </c:pt>
                <c:pt idx="89">
                  <c:v>356421.756297859</c:v>
                </c:pt>
                <c:pt idx="90">
                  <c:v>356785.382559567</c:v>
                </c:pt>
                <c:pt idx="91">
                  <c:v>357149.008821275</c:v>
                </c:pt>
                <c:pt idx="92">
                  <c:v>357512.635082984</c:v>
                </c:pt>
                <c:pt idx="93">
                  <c:v>357876.261344692</c:v>
                </c:pt>
                <c:pt idx="94">
                  <c:v>358239.8876064</c:v>
                </c:pt>
                <c:pt idx="95">
                  <c:v>358603.513868108</c:v>
                </c:pt>
                <c:pt idx="96">
                  <c:v>358967.140129816</c:v>
                </c:pt>
                <c:pt idx="97">
                  <c:v>359330.766391525</c:v>
                </c:pt>
                <c:pt idx="98">
                  <c:v>359694.392653233</c:v>
                </c:pt>
                <c:pt idx="99">
                  <c:v>360058.018914941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axId val="22411581"/>
        <c:axId val="94421214"/>
      </c:scatterChart>
      <c:valAx>
        <c:axId val="2241158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temps(seconde)</a:t>
                </a:r>
              </a:p>
            </c:rich>
          </c:tx>
          <c:layout>
            <c:manualLayout>
              <c:xMode val="edge"/>
              <c:yMode val="edge"/>
              <c:x val="0.447731755424063"/>
              <c:y val="0.91513353115727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94421214"/>
        <c:crosses val="autoZero"/>
        <c:crossBetween val="midCat"/>
      </c:valAx>
      <c:valAx>
        <c:axId val="944212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U(V)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2241158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Evolution de la tension en fonction de l'état de charge(Soc)
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989268947015426"/>
          <c:y val="0.18562091503268"/>
          <c:w val="0.853051643192488"/>
          <c:h val="0.688587229763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18a3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369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33e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8e03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c99c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9211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0e62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23f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6225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5502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0.0562656294474172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axId val="10188777"/>
        <c:axId val="24293114"/>
      </c:scatterChart>
      <c:valAx>
        <c:axId val="1018877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Etat de charge(%)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24293114"/>
        <c:crosses val="autoZero"/>
        <c:crossBetween val="midCat"/>
      </c:valAx>
      <c:valAx>
        <c:axId val="242931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TensionU(V)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1018877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110</xdr:row>
      <xdr:rowOff>138600</xdr:rowOff>
    </xdr:from>
    <xdr:to>
      <xdr:col>6</xdr:col>
      <xdr:colOff>573480</xdr:colOff>
      <xdr:row>131</xdr:row>
      <xdr:rowOff>132840</xdr:rowOff>
    </xdr:to>
    <xdr:graphicFrame>
      <xdr:nvGraphicFramePr>
        <xdr:cNvPr id="0" name="Graphique 1"/>
        <xdr:cNvGraphicFramePr/>
      </xdr:nvGraphicFramePr>
      <xdr:xfrm>
        <a:off x="0" y="18013680"/>
        <a:ext cx="5374080" cy="339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193320</xdr:colOff>
      <xdr:row>112</xdr:row>
      <xdr:rowOff>35640</xdr:rowOff>
    </xdr:from>
    <xdr:to>
      <xdr:col>13</xdr:col>
      <xdr:colOff>701640</xdr:colOff>
      <xdr:row>130</xdr:row>
      <xdr:rowOff>30960</xdr:rowOff>
    </xdr:to>
    <xdr:graphicFrame>
      <xdr:nvGraphicFramePr>
        <xdr:cNvPr id="1" name=""/>
        <xdr:cNvGraphicFramePr/>
      </xdr:nvGraphicFramePr>
      <xdr:xfrm>
        <a:off x="5793840" y="18234720"/>
        <a:ext cx="5308920" cy="29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109080</xdr:colOff>
      <xdr:row>107</xdr:row>
      <xdr:rowOff>57600</xdr:rowOff>
    </xdr:from>
    <xdr:to>
      <xdr:col>20</xdr:col>
      <xdr:colOff>218520</xdr:colOff>
      <xdr:row>124</xdr:row>
      <xdr:rowOff>88200</xdr:rowOff>
    </xdr:to>
    <xdr:graphicFrame>
      <xdr:nvGraphicFramePr>
        <xdr:cNvPr id="2" name=""/>
        <xdr:cNvGraphicFramePr/>
      </xdr:nvGraphicFramePr>
      <xdr:xfrm>
        <a:off x="11310480" y="17447040"/>
        <a:ext cx="4910040" cy="278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24</xdr:row>
      <xdr:rowOff>0</xdr:rowOff>
    </xdr:from>
    <xdr:to>
      <xdr:col>9</xdr:col>
      <xdr:colOff>742680</xdr:colOff>
      <xdr:row>40</xdr:row>
      <xdr:rowOff>151920</xdr:rowOff>
    </xdr:to>
    <xdr:graphicFrame>
      <xdr:nvGraphicFramePr>
        <xdr:cNvPr id="3" name="Graphique 1"/>
        <xdr:cNvGraphicFramePr/>
      </xdr:nvGraphicFramePr>
      <xdr:xfrm>
        <a:off x="2971800" y="3886200"/>
        <a:ext cx="4457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23</xdr:col>
      <xdr:colOff>261720</xdr:colOff>
      <xdr:row>45</xdr:row>
      <xdr:rowOff>36000</xdr:rowOff>
    </xdr:to>
    <xdr:graphicFrame>
      <xdr:nvGraphicFramePr>
        <xdr:cNvPr id="4" name="Graphique 2"/>
        <xdr:cNvGraphicFramePr/>
      </xdr:nvGraphicFramePr>
      <xdr:xfrm>
        <a:off x="11144160" y="3076560"/>
        <a:ext cx="6205320" cy="424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16</xdr:col>
      <xdr:colOff>166320</xdr:colOff>
      <xdr:row>28</xdr:row>
      <xdr:rowOff>17280</xdr:rowOff>
    </xdr:to>
    <xdr:graphicFrame>
      <xdr:nvGraphicFramePr>
        <xdr:cNvPr id="5" name="Graphique 3"/>
        <xdr:cNvGraphicFramePr/>
      </xdr:nvGraphicFramePr>
      <xdr:xfrm>
        <a:off x="6686280" y="971280"/>
        <a:ext cx="5367240" cy="357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101"/>
  <sheetViews>
    <sheetView windowProtection="false" showFormulas="false" showGridLines="true" showRowColHeaders="true" showZeros="true" rightToLeft="false" tabSelected="true" showOutlineSymbols="true" defaultGridColor="true" view="normal" topLeftCell="AR94" colorId="64" zoomScale="55" zoomScaleNormal="55" zoomScalePageLayoutView="100" workbookViewId="0">
      <selection pane="topLeft" activeCell="A1" activeCellId="0" sqref="A1:BA174"/>
    </sheetView>
  </sheetViews>
  <sheetFormatPr defaultRowHeight="12.75"/>
  <cols>
    <col collapsed="false" hidden="false" max="22" min="1" style="0" width="11.3418367346939"/>
    <col collapsed="false" hidden="false" max="23" min="23" style="0" width="16.0663265306122"/>
    <col collapsed="false" hidden="false" max="24" min="24" style="0" width="15.3877551020408"/>
    <col collapsed="false" hidden="false" max="32" min="25" style="0" width="11.3418367346939"/>
    <col collapsed="false" hidden="false" max="33" min="33" style="0" width="18.0867346938776"/>
    <col collapsed="false" hidden="false" max="34" min="34" style="0" width="21.3571428571429"/>
    <col collapsed="false" hidden="false" max="1025" min="35" style="0" width="11.3418367346939"/>
  </cols>
  <sheetData>
    <row r="1" customFormat="false" ht="12.7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W1" s="2" t="s">
        <v>20</v>
      </c>
      <c r="X1" s="2" t="s">
        <v>21</v>
      </c>
      <c r="AG1" s="2" t="s">
        <v>22</v>
      </c>
      <c r="AH1" s="0" t="s">
        <v>23</v>
      </c>
    </row>
    <row r="2" customFormat="false" ht="12.8" hidden="false" customHeight="false" outlineLevel="0" collapsed="false">
      <c r="A2" s="1" t="n">
        <v>0</v>
      </c>
      <c r="B2" s="0" t="n">
        <v>20.2664669488321</v>
      </c>
      <c r="C2" s="0" t="n">
        <v>3.04962158203125</v>
      </c>
      <c r="D2" s="0" t="n">
        <v>36023.9618660482</v>
      </c>
      <c r="E2" s="0" t="n">
        <v>3.20648193359375</v>
      </c>
      <c r="F2" s="0" t="n">
        <v>72028.9955981443</v>
      </c>
      <c r="G2" s="0" t="n">
        <v>2.89794921875</v>
      </c>
      <c r="H2" s="0" t="n">
        <v>108032.376905244</v>
      </c>
      <c r="I2" s="0" t="n">
        <v>3.2061767578125</v>
      </c>
      <c r="J2" s="0" t="n">
        <v>144037.75662434</v>
      </c>
      <c r="K2" s="0" t="n">
        <v>2.9010009765625</v>
      </c>
      <c r="L2" s="0" t="n">
        <v>180041.14793244</v>
      </c>
      <c r="M2" s="0" t="n">
        <v>3.20709228515625</v>
      </c>
      <c r="N2" s="0" t="n">
        <v>216046.546658535</v>
      </c>
      <c r="O2" s="0" t="n">
        <v>2.904052734375</v>
      </c>
      <c r="P2" s="0" t="n">
        <v>252049.973967635</v>
      </c>
      <c r="Q2" s="0" t="n">
        <v>3.21014404296875</v>
      </c>
      <c r="R2" s="0" t="n">
        <v>288055.55969673</v>
      </c>
      <c r="S2" s="0" t="n">
        <v>2.90679931640625</v>
      </c>
      <c r="T2" s="0" t="n">
        <v>324059.01900583</v>
      </c>
      <c r="U2" s="0" t="n">
        <v>3.21624755859375</v>
      </c>
      <c r="W2" s="0" t="n">
        <f aca="false">(1*B2)/3600</f>
        <v>0.00562957415245336</v>
      </c>
      <c r="X2" s="3" t="n">
        <f aca="false">(W2/$W$101)*100</f>
        <v>0.0562656294474172</v>
      </c>
      <c r="AG2" s="0" t="n">
        <f aca="false">$W$100-1*(D2-$D$2)/3600</f>
        <v>9.90434447620886</v>
      </c>
      <c r="AH2" s="0" t="n">
        <f aca="false">100-X2</f>
        <v>99.9437343705526</v>
      </c>
    </row>
    <row r="3" customFormat="false" ht="12.8" hidden="false" customHeight="false" outlineLevel="0" collapsed="false">
      <c r="A3" s="1" t="n">
        <v>1</v>
      </c>
      <c r="B3" s="0" t="n">
        <v>383.892728657027</v>
      </c>
      <c r="C3" s="0" t="n">
        <v>3.1451416015625</v>
      </c>
      <c r="D3" s="0" t="n">
        <v>36387.5881277564</v>
      </c>
      <c r="E3" s="0" t="n">
        <v>3.14178466796875</v>
      </c>
      <c r="F3" s="0" t="n">
        <v>72392.6218598525</v>
      </c>
      <c r="G3" s="0" t="n">
        <v>2.97019881431502</v>
      </c>
      <c r="H3" s="0" t="n">
        <v>108396.003166952</v>
      </c>
      <c r="I3" s="0" t="n">
        <v>3.14178466796875</v>
      </c>
      <c r="J3" s="0" t="n">
        <v>144401.382886048</v>
      </c>
      <c r="K3" s="0" t="n">
        <v>2.97527274700121</v>
      </c>
      <c r="L3" s="0" t="n">
        <v>180404.774194148</v>
      </c>
      <c r="M3" s="0" t="n">
        <v>3.14159354778246</v>
      </c>
      <c r="N3" s="0" t="n">
        <v>216410.172920243</v>
      </c>
      <c r="O3" s="0" t="n">
        <v>2.98229178996996</v>
      </c>
      <c r="P3" s="0" t="n">
        <v>252413.600229343</v>
      </c>
      <c r="Q3" s="0" t="n">
        <v>3.14300537109375</v>
      </c>
      <c r="R3" s="0" t="n">
        <v>288419.185958438</v>
      </c>
      <c r="S3" s="0" t="n">
        <v>2.98736572265625</v>
      </c>
      <c r="T3" s="0" t="n">
        <v>324422.645267538</v>
      </c>
      <c r="U3" s="0" t="n">
        <v>3.14605712890625</v>
      </c>
      <c r="W3" s="0" t="n">
        <f aca="false">(1*B3)/3600</f>
        <v>0.106636869071396</v>
      </c>
      <c r="X3" s="0" t="e">
        <f aca="false">(W3/$w$g108:J114101)*100</f>
        <v>#NAME?</v>
      </c>
      <c r="AG3" s="0" t="n">
        <f aca="false">$W$100-1*(D3-$D$2)/3600</f>
        <v>9.80333718128992</v>
      </c>
      <c r="AH3" s="0" t="e">
        <f aca="false">100-X3</f>
        <v>#NAME?</v>
      </c>
    </row>
    <row r="4" customFormat="false" ht="12.8" hidden="false" customHeight="false" outlineLevel="0" collapsed="false">
      <c r="A4" s="1" t="n">
        <v>2</v>
      </c>
      <c r="B4" s="0" t="n">
        <v>747.518990365221</v>
      </c>
      <c r="C4" s="0" t="n">
        <v>3.15406876380997</v>
      </c>
      <c r="D4" s="0" t="n">
        <v>36751.2143894646</v>
      </c>
      <c r="E4" s="0" t="n">
        <v>3.11332625572128</v>
      </c>
      <c r="F4" s="0" t="n">
        <v>72756.2481215607</v>
      </c>
      <c r="G4" s="0" t="n">
        <v>3.00201416015625</v>
      </c>
      <c r="H4" s="0" t="n">
        <v>108759.62942866</v>
      </c>
      <c r="I4" s="0" t="n">
        <v>3.11370849609375</v>
      </c>
      <c r="J4" s="0" t="n">
        <v>144765.009147756</v>
      </c>
      <c r="K4" s="0" t="n">
        <v>3.00651473228367</v>
      </c>
      <c r="L4" s="0" t="n">
        <v>180768.400455856</v>
      </c>
      <c r="M4" s="0" t="n">
        <v>3.1134033203125</v>
      </c>
      <c r="N4" s="0" t="n">
        <v>216773.799181951</v>
      </c>
      <c r="O4" s="0" t="n">
        <v>3.01360775725966</v>
      </c>
      <c r="P4" s="0" t="n">
        <v>252777.226491051</v>
      </c>
      <c r="Q4" s="0" t="n">
        <v>3.11370849609375</v>
      </c>
      <c r="R4" s="0" t="n">
        <v>288782.812220146</v>
      </c>
      <c r="S4" s="0" t="n">
        <v>3.0181884765625</v>
      </c>
      <c r="T4" s="0" t="n">
        <v>324786.271529246</v>
      </c>
      <c r="U4" s="0" t="n">
        <v>3.11492919921875</v>
      </c>
      <c r="W4" s="0" t="n">
        <f aca="false">(1*B4)/3600</f>
        <v>0.207644163990339</v>
      </c>
      <c r="X4" s="0" t="n">
        <f aca="false">(W4/$W$101)*100</f>
        <v>2.07533097026666</v>
      </c>
      <c r="AG4" s="0" t="n">
        <f aca="false">$W$100-1*(D4-$D$2)/3600</f>
        <v>9.70232988637097</v>
      </c>
      <c r="AH4" s="0" t="n">
        <f aca="false">100-X4</f>
        <v>97.9246690297333</v>
      </c>
    </row>
    <row r="5" customFormat="false" ht="12.8" hidden="false" customHeight="false" outlineLevel="0" collapsed="false">
      <c r="A5" s="1" t="n">
        <v>3</v>
      </c>
      <c r="B5" s="0" t="n">
        <v>1111.14525207342</v>
      </c>
      <c r="C5" s="0" t="n">
        <v>3.15643310546875</v>
      </c>
      <c r="D5" s="0" t="n">
        <v>37114.8406511728</v>
      </c>
      <c r="E5" s="0" t="n">
        <v>3.0914306640625</v>
      </c>
      <c r="F5" s="0" t="n">
        <v>73119.8743832689</v>
      </c>
      <c r="G5" s="0" t="n">
        <v>3.02822228633997</v>
      </c>
      <c r="H5" s="0" t="n">
        <v>109123.255690369</v>
      </c>
      <c r="I5" s="0" t="n">
        <v>3.0926513671875</v>
      </c>
      <c r="J5" s="0" t="n">
        <v>145128.635409465</v>
      </c>
      <c r="K5" s="0" t="n">
        <v>3.03233753551098</v>
      </c>
      <c r="L5" s="0" t="n">
        <v>181132.026717565</v>
      </c>
      <c r="M5" s="0" t="n">
        <v>3.092041015625</v>
      </c>
      <c r="N5" s="0" t="n">
        <v>217137.42544366</v>
      </c>
      <c r="O5" s="0" t="n">
        <v>3.03886644768018</v>
      </c>
      <c r="P5" s="0" t="n">
        <v>253140.85275276</v>
      </c>
      <c r="Q5" s="0" t="n">
        <v>3.092041015625</v>
      </c>
      <c r="R5" s="0" t="n">
        <v>289146.438481855</v>
      </c>
      <c r="S5" s="0" t="n">
        <v>3.04313890861766</v>
      </c>
      <c r="T5" s="0" t="n">
        <v>325149.897790955</v>
      </c>
      <c r="U5" s="0" t="n">
        <v>3.09234619140625</v>
      </c>
      <c r="W5" s="0" t="n">
        <f aca="false">(1*B5)/3600</f>
        <v>0.308651458909283</v>
      </c>
      <c r="X5" s="0" t="n">
        <f aca="false">(W5/$W$101)*100</f>
        <v>3.08486364067629</v>
      </c>
      <c r="AG5" s="0" t="n">
        <f aca="false">$W$100-1*(D5-$D$2)/3600</f>
        <v>9.60132259145203</v>
      </c>
      <c r="AH5" s="0" t="n">
        <f aca="false">100-X5</f>
        <v>96.9151363593237</v>
      </c>
    </row>
    <row r="6" customFormat="false" ht="12.8" hidden="false" customHeight="false" outlineLevel="0" collapsed="false">
      <c r="A6" s="1" t="n">
        <v>4</v>
      </c>
      <c r="B6" s="0" t="n">
        <v>1474.77151378161</v>
      </c>
      <c r="C6" s="0" t="n">
        <v>3.1570403744476</v>
      </c>
      <c r="D6" s="0" t="n">
        <v>37478.466912881</v>
      </c>
      <c r="E6" s="0" t="n">
        <v>3.0731201171875</v>
      </c>
      <c r="F6" s="0" t="n">
        <v>73483.5006449771</v>
      </c>
      <c r="G6" s="0" t="n">
        <v>3.0511474609375</v>
      </c>
      <c r="H6" s="0" t="n">
        <v>109486.881952077</v>
      </c>
      <c r="I6" s="0" t="n">
        <v>3.07464599609375</v>
      </c>
      <c r="J6" s="0" t="n">
        <v>145492.261671173</v>
      </c>
      <c r="K6" s="0" t="n">
        <v>3.05465544112999</v>
      </c>
      <c r="L6" s="0" t="n">
        <v>181495.652979273</v>
      </c>
      <c r="M6" s="0" t="n">
        <v>3.07403564453125</v>
      </c>
      <c r="N6" s="0" t="n">
        <v>217501.051705368</v>
      </c>
      <c r="O6" s="0" t="n">
        <v>3.06060791015625</v>
      </c>
      <c r="P6" s="0" t="n">
        <v>253504.479014468</v>
      </c>
      <c r="Q6" s="0" t="n">
        <v>3.07403564453125</v>
      </c>
      <c r="R6" s="0" t="n">
        <v>289510.064743563</v>
      </c>
      <c r="S6" s="0" t="n">
        <v>3.06396484375</v>
      </c>
      <c r="T6" s="0" t="n">
        <v>325513.524052663</v>
      </c>
      <c r="U6" s="0" t="n">
        <v>3.07388151534873</v>
      </c>
      <c r="W6" s="0" t="n">
        <f aca="false">(1*B6)/3600</f>
        <v>0.409658753828225</v>
      </c>
      <c r="X6" s="0" t="n">
        <f aca="false">(W6/$W$101)*100</f>
        <v>4.0943963110859</v>
      </c>
      <c r="AG6" s="0" t="n">
        <f aca="false">$W$100-1*(D6-$D$2)/3600</f>
        <v>9.50031529653309</v>
      </c>
      <c r="AH6" s="0" t="n">
        <f aca="false">100-X6</f>
        <v>95.9056036889141</v>
      </c>
    </row>
    <row r="7" customFormat="false" ht="12.8" hidden="false" customHeight="false" outlineLevel="0" collapsed="false">
      <c r="A7" s="1" t="n">
        <v>5</v>
      </c>
      <c r="B7" s="0" t="n">
        <v>1838.39777548981</v>
      </c>
      <c r="C7" s="0" t="n">
        <v>3.15769388218119</v>
      </c>
      <c r="D7" s="0" t="n">
        <v>37842.0931745892</v>
      </c>
      <c r="E7" s="0" t="n">
        <v>3.0572509765625</v>
      </c>
      <c r="F7" s="0" t="n">
        <v>73847.1269066853</v>
      </c>
      <c r="G7" s="0" t="n">
        <v>3.07098388671875</v>
      </c>
      <c r="H7" s="0" t="n">
        <v>109850.508213785</v>
      </c>
      <c r="I7" s="0" t="n">
        <v>3.05938720703125</v>
      </c>
      <c r="J7" s="0" t="n">
        <v>145855.887932881</v>
      </c>
      <c r="K7" s="0" t="n">
        <v>3.0739955709438</v>
      </c>
      <c r="L7" s="0" t="n">
        <v>181859.279240981</v>
      </c>
      <c r="M7" s="0" t="n">
        <v>3.05908203125</v>
      </c>
      <c r="N7" s="0" t="n">
        <v>217864.677967076</v>
      </c>
      <c r="O7" s="0" t="n">
        <v>3.07944866141885</v>
      </c>
      <c r="P7" s="0" t="n">
        <v>253868.105276176</v>
      </c>
      <c r="Q7" s="0" t="n">
        <v>3.05877685546875</v>
      </c>
      <c r="R7" s="0" t="n">
        <v>289873.691005271</v>
      </c>
      <c r="S7" s="0" t="n">
        <v>3.08258056640625</v>
      </c>
      <c r="T7" s="0" t="n">
        <v>325877.150314371</v>
      </c>
      <c r="U7" s="0" t="n">
        <v>3.0584716796875</v>
      </c>
      <c r="W7" s="0" t="n">
        <f aca="false">(1*B7)/3600</f>
        <v>0.51066604874717</v>
      </c>
      <c r="X7" s="0" t="n">
        <f aca="false">(W7/$W$101)*100</f>
        <v>5.10392898149554</v>
      </c>
      <c r="AG7" s="0" t="n">
        <f aca="false">$W$100-1*(D7-$D$2)/3600</f>
        <v>9.39930800161414</v>
      </c>
      <c r="AH7" s="0" t="n">
        <f aca="false">100-X7</f>
        <v>94.8960710185045</v>
      </c>
    </row>
    <row r="8" customFormat="false" ht="12.8" hidden="false" customHeight="false" outlineLevel="0" collapsed="false">
      <c r="A8" s="1" t="n">
        <v>6</v>
      </c>
      <c r="B8" s="0" t="n">
        <v>2202.024037198</v>
      </c>
      <c r="C8" s="0" t="n">
        <v>3.15864331794508</v>
      </c>
      <c r="D8" s="0" t="n">
        <v>38205.7194362974</v>
      </c>
      <c r="E8" s="0" t="n">
        <v>3.04351806640625</v>
      </c>
      <c r="F8" s="0" t="n">
        <v>74210.7531683935</v>
      </c>
      <c r="G8" s="0" t="n">
        <v>3.0879997484612</v>
      </c>
      <c r="H8" s="0" t="n">
        <v>110214.134475493</v>
      </c>
      <c r="I8" s="0" t="n">
        <v>3.0462646484375</v>
      </c>
      <c r="J8" s="0" t="n">
        <v>146219.514194589</v>
      </c>
      <c r="K8" s="0" t="n">
        <v>3.0904411547112</v>
      </c>
      <c r="L8" s="0" t="n">
        <v>182222.905502689</v>
      </c>
      <c r="M8" s="0" t="n">
        <v>3.04595947265625</v>
      </c>
      <c r="N8" s="0" t="n">
        <v>218228.304228784</v>
      </c>
      <c r="O8" s="0" t="n">
        <v>3.09478759765625</v>
      </c>
      <c r="P8" s="0" t="n">
        <v>254231.731537884</v>
      </c>
      <c r="Q8" s="0" t="n">
        <v>3.04595947265625</v>
      </c>
      <c r="R8" s="0" t="n">
        <v>290237.317266979</v>
      </c>
      <c r="S8" s="0" t="n">
        <v>3.09769139145365</v>
      </c>
      <c r="T8" s="0" t="n">
        <v>326240.776576079</v>
      </c>
      <c r="U8" s="0" t="n">
        <v>3.0454231031013</v>
      </c>
      <c r="W8" s="0" t="n">
        <f aca="false">(1*B8)/3600</f>
        <v>0.611673343666111</v>
      </c>
      <c r="X8" s="0" t="n">
        <f aca="false">(W8/$W$101)*100</f>
        <v>6.11346165190515</v>
      </c>
      <c r="AG8" s="0" t="n">
        <f aca="false">$W$100-1*(D8-$D$2)/3600</f>
        <v>9.2983007066952</v>
      </c>
      <c r="AH8" s="0" t="n">
        <f aca="false">100-X8</f>
        <v>93.8865383480949</v>
      </c>
    </row>
    <row r="9" customFormat="false" ht="12.8" hidden="false" customHeight="false" outlineLevel="0" collapsed="false">
      <c r="A9" s="1" t="n">
        <v>7</v>
      </c>
      <c r="B9" s="0" t="n">
        <v>2565.65029890619</v>
      </c>
      <c r="C9" s="0" t="n">
        <v>3.15899164989741</v>
      </c>
      <c r="D9" s="0" t="n">
        <v>38569.3456980056</v>
      </c>
      <c r="E9" s="0" t="n">
        <v>3.03149907275884</v>
      </c>
      <c r="F9" s="0" t="n">
        <v>74574.3794301017</v>
      </c>
      <c r="G9" s="0" t="n">
        <v>3.10187754004889</v>
      </c>
      <c r="H9" s="0" t="n">
        <v>110577.760737201</v>
      </c>
      <c r="I9" s="0" t="n">
        <v>3.03497314453125</v>
      </c>
      <c r="J9" s="0" t="n">
        <v>146583.140456297</v>
      </c>
      <c r="K9" s="0" t="n">
        <v>3.10436518505374</v>
      </c>
      <c r="L9" s="0" t="n">
        <v>182586.531764397</v>
      </c>
      <c r="M9" s="0" t="n">
        <v>3.0348560063525</v>
      </c>
      <c r="N9" s="0" t="n">
        <v>218591.930490492</v>
      </c>
      <c r="O9" s="0" t="n">
        <v>3.10821533203125</v>
      </c>
      <c r="P9" s="0" t="n">
        <v>254595.357799592</v>
      </c>
      <c r="Q9" s="0" t="n">
        <v>3.03497314453125</v>
      </c>
      <c r="R9" s="0" t="n">
        <v>290600.943528687</v>
      </c>
      <c r="S9" s="0" t="n">
        <v>3.1105858388575</v>
      </c>
      <c r="T9" s="0" t="n">
        <v>326604.402837787</v>
      </c>
      <c r="U9" s="0" t="n">
        <v>3.03436279296875</v>
      </c>
      <c r="W9" s="0" t="n">
        <f aca="false">(1*B9)/3600</f>
        <v>0.712680638585053</v>
      </c>
      <c r="X9" s="0" t="n">
        <f aca="false">(W9/$W$101)*100</f>
        <v>7.12299432231476</v>
      </c>
      <c r="AG9" s="0" t="n">
        <f aca="false">$W$100-1*(D9-$D$2)/3600</f>
        <v>9.19729341177625</v>
      </c>
      <c r="AH9" s="0" t="n">
        <f aca="false">100-X9</f>
        <v>92.8770056776853</v>
      </c>
    </row>
    <row r="10" customFormat="false" ht="12.8" hidden="false" customHeight="false" outlineLevel="0" collapsed="false">
      <c r="A10" s="1" t="n">
        <v>8</v>
      </c>
      <c r="B10" s="0" t="n">
        <v>2929.27656061439</v>
      </c>
      <c r="C10" s="0" t="n">
        <v>3.1594941110322</v>
      </c>
      <c r="D10" s="0" t="n">
        <v>38932.9719597138</v>
      </c>
      <c r="E10" s="0" t="n">
        <v>3.02093505859375</v>
      </c>
      <c r="F10" s="0" t="n">
        <v>74938.0056918099</v>
      </c>
      <c r="G10" s="0" t="n">
        <v>3.11279296875</v>
      </c>
      <c r="H10" s="0" t="n">
        <v>110941.38699891</v>
      </c>
      <c r="I10" s="0" t="n">
        <v>3.02490234375</v>
      </c>
      <c r="J10" s="0" t="n">
        <v>146946.766718006</v>
      </c>
      <c r="K10" s="0" t="n">
        <v>3.11524054016757</v>
      </c>
      <c r="L10" s="0" t="n">
        <v>182950.158026106</v>
      </c>
      <c r="M10" s="0" t="n">
        <v>3.02520751953125</v>
      </c>
      <c r="N10" s="0" t="n">
        <v>218955.556752201</v>
      </c>
      <c r="O10" s="0" t="n">
        <v>3.11860055634511</v>
      </c>
      <c r="P10" s="0" t="n">
        <v>254958.984061301</v>
      </c>
      <c r="Q10" s="0" t="n">
        <v>3.02520751953125</v>
      </c>
      <c r="R10" s="0" t="n">
        <v>290964.569790396</v>
      </c>
      <c r="S10" s="0" t="n">
        <v>3.1210388800113</v>
      </c>
      <c r="T10" s="0" t="n">
        <v>326968.029099496</v>
      </c>
      <c r="U10" s="0" t="n">
        <v>3.02459716796875</v>
      </c>
      <c r="W10" s="0" t="n">
        <f aca="false">(1*B10)/3600</f>
        <v>0.813687933503997</v>
      </c>
      <c r="X10" s="0" t="n">
        <f aca="false">(W10/$W$101)*100</f>
        <v>8.1325269927244</v>
      </c>
      <c r="AG10" s="0" t="n">
        <f aca="false">$W$100-1*(D10-$D$2)/3600</f>
        <v>9.09628611685731</v>
      </c>
      <c r="AH10" s="0" t="n">
        <f aca="false">100-X10</f>
        <v>91.8674730072756</v>
      </c>
    </row>
    <row r="11" customFormat="false" ht="12.8" hidden="false" customHeight="false" outlineLevel="0" collapsed="false">
      <c r="A11" s="1" t="n">
        <v>9</v>
      </c>
      <c r="B11" s="0" t="n">
        <v>3292.90282232258</v>
      </c>
      <c r="C11" s="0" t="n">
        <v>3.16078879616477</v>
      </c>
      <c r="D11" s="0" t="n">
        <v>39296.598221422</v>
      </c>
      <c r="E11" s="0" t="n">
        <v>3.0120849609375</v>
      </c>
      <c r="F11" s="0" t="n">
        <v>75301.6319535181</v>
      </c>
      <c r="G11" s="0" t="n">
        <v>3.1219482421875</v>
      </c>
      <c r="H11" s="0" t="n">
        <v>111305.013260618</v>
      </c>
      <c r="I11" s="0" t="n">
        <v>3.016357421875</v>
      </c>
      <c r="J11" s="0" t="n">
        <v>147310.392979714</v>
      </c>
      <c r="K11" s="0" t="n">
        <v>3.12427867542622</v>
      </c>
      <c r="L11" s="0" t="n">
        <v>183313.784287814</v>
      </c>
      <c r="M11" s="0" t="n">
        <v>3.01666259765625</v>
      </c>
      <c r="N11" s="0" t="n">
        <v>219319.183013909</v>
      </c>
      <c r="O11" s="0" t="n">
        <v>3.12835693359375</v>
      </c>
      <c r="P11" s="0" t="n">
        <v>255322.610323009</v>
      </c>
      <c r="Q11" s="0" t="n">
        <v>3.0169677734375</v>
      </c>
      <c r="R11" s="0" t="n">
        <v>291328.196052104</v>
      </c>
      <c r="S11" s="0" t="n">
        <v>3.1298828125</v>
      </c>
      <c r="T11" s="0" t="n">
        <v>327331.655361204</v>
      </c>
      <c r="U11" s="0" t="n">
        <v>3.016357421875</v>
      </c>
      <c r="W11" s="0" t="n">
        <f aca="false">(1*B11)/3600</f>
        <v>0.914695228422939</v>
      </c>
      <c r="X11" s="0" t="n">
        <f aca="false">(W11/$W$101)*100</f>
        <v>9.14205966313401</v>
      </c>
      <c r="AG11" s="0" t="n">
        <f aca="false">$W$100-1*(D11-$D$2)/3600</f>
        <v>8.99527882193836</v>
      </c>
      <c r="AH11" s="0" t="n">
        <f aca="false">100-X11</f>
        <v>90.857940336866</v>
      </c>
    </row>
    <row r="12" customFormat="false" ht="12.8" hidden="false" customHeight="false" outlineLevel="0" collapsed="false">
      <c r="A12" s="1" t="n">
        <v>10</v>
      </c>
      <c r="B12" s="0" t="n">
        <v>3656.52908403078</v>
      </c>
      <c r="C12" s="0" t="n">
        <v>3.16117103653725</v>
      </c>
      <c r="D12" s="0" t="n">
        <v>39660.2244831302</v>
      </c>
      <c r="E12" s="0" t="n">
        <v>3.00437541923138</v>
      </c>
      <c r="F12" s="0" t="n">
        <v>75665.2582152263</v>
      </c>
      <c r="G12" s="0" t="n">
        <v>3.12935260811241</v>
      </c>
      <c r="H12" s="0" t="n">
        <v>111668.639522326</v>
      </c>
      <c r="I12" s="0" t="n">
        <v>3.009033203125</v>
      </c>
      <c r="J12" s="0" t="n">
        <v>147674.019241422</v>
      </c>
      <c r="K12" s="0" t="n">
        <v>3.13172928010584</v>
      </c>
      <c r="L12" s="0" t="n">
        <v>183677.410549522</v>
      </c>
      <c r="M12" s="0" t="n">
        <v>3.00933837890625</v>
      </c>
      <c r="N12" s="0" t="n">
        <v>219682.809275617</v>
      </c>
      <c r="O12" s="0" t="n">
        <v>3.13584144669354</v>
      </c>
      <c r="P12" s="0" t="n">
        <v>255686.236584717</v>
      </c>
      <c r="Q12" s="0" t="n">
        <v>3.00994873046875</v>
      </c>
      <c r="R12" s="0" t="n">
        <v>291691.822313812</v>
      </c>
      <c r="S12" s="0" t="n">
        <v>3.13759235420615</v>
      </c>
      <c r="T12" s="0" t="n">
        <v>327695.281622912</v>
      </c>
      <c r="U12" s="0" t="n">
        <v>3.00933837890625</v>
      </c>
      <c r="W12" s="0" t="n">
        <f aca="false">(1*B12)/3600</f>
        <v>1.01570252334188</v>
      </c>
      <c r="X12" s="0" t="n">
        <f aca="false">(W12/$W$101)*100</f>
        <v>10.1515923335436</v>
      </c>
      <c r="AG12" s="0" t="n">
        <f aca="false">$W$100-1*(D12-$D$2)/3600</f>
        <v>8.89427152701942</v>
      </c>
      <c r="AH12" s="0" t="n">
        <f aca="false">100-X12</f>
        <v>89.8484076664564</v>
      </c>
    </row>
    <row r="13" customFormat="false" ht="12.8" hidden="false" customHeight="false" outlineLevel="0" collapsed="false">
      <c r="A13" s="1" t="n">
        <v>11</v>
      </c>
      <c r="B13" s="0" t="n">
        <v>4020.15534573897</v>
      </c>
      <c r="C13" s="0" t="n">
        <v>3.16192626953125</v>
      </c>
      <c r="D13" s="0" t="n">
        <v>40023.8507448383</v>
      </c>
      <c r="E13" s="0" t="n">
        <v>2.9974365234375</v>
      </c>
      <c r="F13" s="0" t="n">
        <v>76028.8844769345</v>
      </c>
      <c r="G13" s="0" t="n">
        <v>3.13530815972229</v>
      </c>
      <c r="H13" s="0" t="n">
        <v>112032.265784034</v>
      </c>
      <c r="I13" s="0" t="n">
        <v>3.00262451171875</v>
      </c>
      <c r="J13" s="0" t="n">
        <v>148037.64550313</v>
      </c>
      <c r="K13" s="0" t="n">
        <v>3.138427734375</v>
      </c>
      <c r="L13" s="0" t="n">
        <v>184041.03681123</v>
      </c>
      <c r="M13" s="0" t="n">
        <v>3.0029296875</v>
      </c>
      <c r="N13" s="0" t="n">
        <v>220046.435537325</v>
      </c>
      <c r="O13" s="0" t="n">
        <v>3.14208984375</v>
      </c>
      <c r="P13" s="0" t="n">
        <v>256049.862846425</v>
      </c>
      <c r="Q13" s="0" t="n">
        <v>3.0035400390625</v>
      </c>
      <c r="R13" s="0" t="n">
        <v>292055.44857552</v>
      </c>
      <c r="S13" s="0" t="n">
        <v>3.1439208984375</v>
      </c>
      <c r="T13" s="0" t="n">
        <v>328058.90788462</v>
      </c>
      <c r="U13" s="0" t="n">
        <v>3.0029296875</v>
      </c>
      <c r="W13" s="0" t="n">
        <f aca="false">(1*B13)/3600</f>
        <v>1.11670981826083</v>
      </c>
      <c r="X13" s="0" t="n">
        <f aca="false">(W13/$W$101)*100</f>
        <v>11.1611250039533</v>
      </c>
      <c r="AG13" s="0" t="n">
        <f aca="false">$W$100-1*(D13-$D$2)/3600</f>
        <v>8.7932642321005</v>
      </c>
      <c r="AH13" s="0" t="n">
        <f aca="false">100-X13</f>
        <v>88.8388749960468</v>
      </c>
    </row>
    <row r="14" customFormat="false" ht="12.8" hidden="false" customHeight="false" outlineLevel="0" collapsed="false">
      <c r="A14" s="1" t="n">
        <v>12</v>
      </c>
      <c r="B14" s="0" t="n">
        <v>4383.78160744717</v>
      </c>
      <c r="C14" s="0" t="n">
        <v>3.1614823774858</v>
      </c>
      <c r="D14" s="0" t="n">
        <v>40387.4770065465</v>
      </c>
      <c r="E14" s="0" t="n">
        <v>2.99163818359375</v>
      </c>
      <c r="F14" s="0" t="n">
        <v>76392.5107386427</v>
      </c>
      <c r="G14" s="0" t="n">
        <v>3.13858494614112</v>
      </c>
      <c r="H14" s="0" t="n">
        <v>112395.892045742</v>
      </c>
      <c r="I14" s="0" t="n">
        <v>2.996826171875</v>
      </c>
      <c r="J14" s="0" t="n">
        <v>148401.271764838</v>
      </c>
      <c r="K14" s="0" t="n">
        <v>3.14331979462605</v>
      </c>
      <c r="L14" s="0" t="n">
        <v>184404.663072938</v>
      </c>
      <c r="M14" s="0" t="n">
        <v>2.9974365234375</v>
      </c>
      <c r="N14" s="0" t="n">
        <v>220410.061799033</v>
      </c>
      <c r="O14" s="0" t="n">
        <v>3.1466582327177</v>
      </c>
      <c r="P14" s="0" t="n">
        <v>256413.489108133</v>
      </c>
      <c r="Q14" s="0" t="n">
        <v>2.998046875</v>
      </c>
      <c r="R14" s="0" t="n">
        <v>292419.074837228</v>
      </c>
      <c r="S14" s="0" t="n">
        <v>3.14805464311094</v>
      </c>
      <c r="T14" s="0" t="n">
        <v>328422.534146328</v>
      </c>
      <c r="U14" s="0" t="n">
        <v>2.9974365234375</v>
      </c>
      <c r="W14" s="0" t="n">
        <f aca="false">(1*B14)/3600</f>
        <v>1.21771711317977</v>
      </c>
      <c r="X14" s="0" t="n">
        <f aca="false">(W14/$W$101)*100</f>
        <v>12.1706576743629</v>
      </c>
      <c r="AG14" s="0" t="n">
        <f aca="false">$W$100-1*(D14-$D$2)/3600</f>
        <v>8.69225693718156</v>
      </c>
      <c r="AH14" s="0" t="n">
        <f aca="false">100-X14</f>
        <v>87.8293423256371</v>
      </c>
    </row>
    <row r="15" customFormat="false" ht="12.8" hidden="false" customHeight="false" outlineLevel="0" collapsed="false">
      <c r="A15" s="1" t="n">
        <v>13</v>
      </c>
      <c r="B15" s="0" t="n">
        <v>4747.40786915536</v>
      </c>
      <c r="C15" s="0" t="n">
        <v>3.16061925406408</v>
      </c>
      <c r="D15" s="0" t="n">
        <v>40751.1032682547</v>
      </c>
      <c r="E15" s="0" t="n">
        <v>2.9864501953125</v>
      </c>
      <c r="F15" s="0" t="n">
        <v>76756.1370003509</v>
      </c>
      <c r="G15" s="0" t="n">
        <v>3.14235186336012</v>
      </c>
      <c r="H15" s="0" t="n">
        <v>112759.518307451</v>
      </c>
      <c r="I15" s="0" t="n">
        <v>2.991943359375</v>
      </c>
      <c r="J15" s="0" t="n">
        <v>148764.898026547</v>
      </c>
      <c r="K15" s="0" t="n">
        <v>3.14692950007881</v>
      </c>
      <c r="L15" s="0" t="n">
        <v>184768.289334647</v>
      </c>
      <c r="M15" s="0" t="n">
        <v>2.9925537109375</v>
      </c>
      <c r="N15" s="0" t="n">
        <v>220773.688060742</v>
      </c>
      <c r="O15" s="0" t="n">
        <v>3.15006757023369</v>
      </c>
      <c r="P15" s="0" t="n">
        <v>256777.115369842</v>
      </c>
      <c r="Q15" s="0" t="n">
        <v>2.9931640625</v>
      </c>
      <c r="R15" s="0" t="n">
        <v>292782.701098937</v>
      </c>
      <c r="S15" s="0" t="n">
        <v>3.15155029296875</v>
      </c>
      <c r="T15" s="0" t="n">
        <v>328786.160408037</v>
      </c>
      <c r="U15" s="0" t="n">
        <v>2.9925537109375</v>
      </c>
      <c r="W15" s="0" t="n">
        <f aca="false">(1*B15)/3600</f>
        <v>1.31872440809871</v>
      </c>
      <c r="X15" s="0" t="n">
        <f aca="false">(W15/$W$101)*100</f>
        <v>13.1801903447725</v>
      </c>
      <c r="AG15" s="0" t="n">
        <f aca="false">$W$100-1*(D15-$D$2)/3600</f>
        <v>8.59124964226261</v>
      </c>
      <c r="AH15" s="0" t="n">
        <f aca="false">100-X15</f>
        <v>86.8198096552275</v>
      </c>
    </row>
    <row r="16" customFormat="false" ht="12.8" hidden="false" customHeight="false" outlineLevel="0" collapsed="false">
      <c r="A16" s="1" t="n">
        <v>14</v>
      </c>
      <c r="B16" s="0" t="n">
        <v>5111.03413086356</v>
      </c>
      <c r="C16" s="0" t="n">
        <v>3.15986093848643</v>
      </c>
      <c r="D16" s="0" t="n">
        <v>41114.7295299629</v>
      </c>
      <c r="E16" s="0" t="n">
        <v>2.98187255859375</v>
      </c>
      <c r="F16" s="0" t="n">
        <v>77119.7632620591</v>
      </c>
      <c r="G16" s="0" t="n">
        <v>3.14490732520514</v>
      </c>
      <c r="H16" s="0" t="n">
        <v>113123.144569159</v>
      </c>
      <c r="I16" s="0" t="n">
        <v>2.98736572265625</v>
      </c>
      <c r="J16" s="0" t="n">
        <v>149128.524288255</v>
      </c>
      <c r="K16" s="0" t="n">
        <v>3.14925068556642</v>
      </c>
      <c r="L16" s="0" t="n">
        <v>185131.915596355</v>
      </c>
      <c r="M16" s="0" t="n">
        <v>2.98804697364258</v>
      </c>
      <c r="N16" s="0" t="n">
        <v>221137.31432245</v>
      </c>
      <c r="O16" s="0" t="n">
        <v>3.15323954880858</v>
      </c>
      <c r="P16" s="0" t="n">
        <v>257140.74163155</v>
      </c>
      <c r="Q16" s="0" t="n">
        <v>2.9888916015625</v>
      </c>
      <c r="R16" s="0" t="n">
        <v>293146.327360645</v>
      </c>
      <c r="S16" s="0" t="n">
        <v>3.15467295020508</v>
      </c>
      <c r="T16" s="0" t="n">
        <v>329149.786669745</v>
      </c>
      <c r="U16" s="0" t="n">
        <v>2.98828125</v>
      </c>
      <c r="W16" s="0" t="n">
        <f aca="false">(1*B16)/3600</f>
        <v>1.41973170301766</v>
      </c>
      <c r="X16" s="0" t="n">
        <f aca="false">(W16/$W$101)*100</f>
        <v>14.1897230151821</v>
      </c>
      <c r="AG16" s="0" t="n">
        <f aca="false">$W$100-1*(D16-$D$2)/3600</f>
        <v>8.49024234734367</v>
      </c>
      <c r="AH16" s="0" t="n">
        <f aca="false">100-X16</f>
        <v>85.8102769848179</v>
      </c>
    </row>
    <row r="17" customFormat="false" ht="12.8" hidden="false" customHeight="false" outlineLevel="0" collapsed="false">
      <c r="A17" s="1" t="n">
        <v>15</v>
      </c>
      <c r="B17" s="0" t="n">
        <v>5474.66039257175</v>
      </c>
      <c r="C17" s="0" t="n">
        <v>3.15948486328125</v>
      </c>
      <c r="D17" s="0" t="n">
        <v>41478.3557916711</v>
      </c>
      <c r="E17" s="0" t="n">
        <v>2.9779052734375</v>
      </c>
      <c r="F17" s="0" t="n">
        <v>77483.3895237673</v>
      </c>
      <c r="G17" s="0" t="n">
        <v>3.1473980527936</v>
      </c>
      <c r="H17" s="0" t="n">
        <v>113486.770830867</v>
      </c>
      <c r="I17" s="0" t="n">
        <v>2.9833984375</v>
      </c>
      <c r="J17" s="0" t="n">
        <v>149492.150549963</v>
      </c>
      <c r="K17" s="0" t="n">
        <v>3.15185546875</v>
      </c>
      <c r="L17" s="0" t="n">
        <v>185495.541858063</v>
      </c>
      <c r="M17" s="0" t="n">
        <v>2.98431396484375</v>
      </c>
      <c r="N17" s="0" t="n">
        <v>221500.940584158</v>
      </c>
      <c r="O17" s="0" t="n">
        <v>3.1550921815814</v>
      </c>
      <c r="P17" s="0" t="n">
        <v>257504.367893258</v>
      </c>
      <c r="Q17" s="0" t="n">
        <v>2.98492431640625</v>
      </c>
      <c r="R17" s="0" t="n">
        <v>293509.953622353</v>
      </c>
      <c r="S17" s="0" t="n">
        <v>3.15692323626891</v>
      </c>
      <c r="T17" s="0" t="n">
        <v>329513.412931453</v>
      </c>
      <c r="U17" s="0" t="n">
        <v>2.98431396484375</v>
      </c>
      <c r="W17" s="0" t="n">
        <f aca="false">(1*B17)/3600</f>
        <v>1.5207389979366</v>
      </c>
      <c r="X17" s="0" t="n">
        <f aca="false">(W17/$W$101)*100</f>
        <v>15.1992556855917</v>
      </c>
      <c r="AG17" s="0" t="n">
        <f aca="false">$W$100-1*(D17-$D$2)/3600</f>
        <v>8.38923505242472</v>
      </c>
      <c r="AH17" s="0" t="n">
        <f aca="false">100-X17</f>
        <v>84.8007443144083</v>
      </c>
    </row>
    <row r="18" customFormat="false" ht="12.8" hidden="false" customHeight="false" outlineLevel="0" collapsed="false">
      <c r="A18" s="1" t="n">
        <v>16</v>
      </c>
      <c r="B18" s="0" t="n">
        <v>5838.28665427995</v>
      </c>
      <c r="C18" s="0" t="n">
        <v>3.1591858526673</v>
      </c>
      <c r="D18" s="0" t="n">
        <v>41841.9820533793</v>
      </c>
      <c r="E18" s="0" t="n">
        <v>2.9742431640625</v>
      </c>
      <c r="F18" s="0" t="n">
        <v>77847.0157854755</v>
      </c>
      <c r="G18" s="0" t="n">
        <v>3.1488037109375</v>
      </c>
      <c r="H18" s="0" t="n">
        <v>113850.397092575</v>
      </c>
      <c r="I18" s="0" t="n">
        <v>2.979736328125</v>
      </c>
      <c r="J18" s="0" t="n">
        <v>149855.776811671</v>
      </c>
      <c r="K18" s="0" t="n">
        <v>3.15337518248897</v>
      </c>
      <c r="L18" s="0" t="n">
        <v>185859.168119771</v>
      </c>
      <c r="M18" s="0" t="n">
        <v>2.98065185546875</v>
      </c>
      <c r="N18" s="0" t="n">
        <v>221864.566845866</v>
      </c>
      <c r="O18" s="0" t="n">
        <v>3.15584741457535</v>
      </c>
      <c r="P18" s="0" t="n">
        <v>257867.994154966</v>
      </c>
      <c r="Q18" s="0" t="n">
        <v>2.9815673828125</v>
      </c>
      <c r="R18" s="0" t="n">
        <v>293873.579884061</v>
      </c>
      <c r="S18" s="0" t="n">
        <v>3.15857550110478</v>
      </c>
      <c r="T18" s="0" t="n">
        <v>329877.039193161</v>
      </c>
      <c r="U18" s="0" t="n">
        <v>2.98095703125</v>
      </c>
      <c r="W18" s="0" t="n">
        <f aca="false">(1*B18)/3600</f>
        <v>1.62174629285554</v>
      </c>
      <c r="X18" s="0" t="n">
        <f aca="false">(W18/$W$101)*100</f>
        <v>16.2087883560014</v>
      </c>
      <c r="AG18" s="0" t="n">
        <f aca="false">$W$100-1*(D18-$D$2)/3600</f>
        <v>8.28822775750578</v>
      </c>
      <c r="AH18" s="0" t="n">
        <f aca="false">100-X18</f>
        <v>83.7912116439986</v>
      </c>
    </row>
    <row r="19" customFormat="false" ht="12.8" hidden="false" customHeight="false" outlineLevel="0" collapsed="false">
      <c r="A19" s="1" t="n">
        <v>17</v>
      </c>
      <c r="B19" s="0" t="n">
        <v>6201.91291598814</v>
      </c>
      <c r="C19" s="0" t="n">
        <v>3.15887451171875</v>
      </c>
      <c r="D19" s="0" t="n">
        <v>42205.6083150875</v>
      </c>
      <c r="E19" s="0" t="n">
        <v>2.97149658203125</v>
      </c>
      <c r="F19" s="0" t="n">
        <v>78210.6420471837</v>
      </c>
      <c r="G19" s="0" t="n">
        <v>3.15013230449018</v>
      </c>
      <c r="H19" s="0" t="n">
        <v>114214.023354283</v>
      </c>
      <c r="I19" s="0" t="n">
        <v>2.9766845703125</v>
      </c>
      <c r="J19" s="0" t="n">
        <v>150219.403073379</v>
      </c>
      <c r="K19" s="0" t="n">
        <v>3.154296875</v>
      </c>
      <c r="L19" s="0" t="n">
        <v>186222.794381479</v>
      </c>
      <c r="M19" s="0" t="n">
        <v>2.97760009765625</v>
      </c>
      <c r="N19" s="0" t="n">
        <v>222228.193107574</v>
      </c>
      <c r="O19" s="0" t="n">
        <v>3.15804837930087</v>
      </c>
      <c r="P19" s="0" t="n">
        <v>258231.620416674</v>
      </c>
      <c r="Q19" s="0" t="n">
        <v>2.978515625</v>
      </c>
      <c r="R19" s="0" t="n">
        <v>294237.206145769</v>
      </c>
      <c r="S19" s="0" t="n">
        <v>3.15959275370894</v>
      </c>
      <c r="T19" s="0" t="n">
        <v>330240.665454869</v>
      </c>
      <c r="U19" s="0" t="n">
        <v>2.9779052734375</v>
      </c>
      <c r="W19" s="0" t="n">
        <f aca="false">(1*B19)/3600</f>
        <v>1.72275358777448</v>
      </c>
      <c r="X19" s="0" t="n">
        <f aca="false">(W19/$W$101)*100</f>
        <v>17.218321026411</v>
      </c>
      <c r="AG19" s="0" t="n">
        <f aca="false">$W$100-1*(D19-$D$2)/3600</f>
        <v>8.18722046258684</v>
      </c>
      <c r="AH19" s="0" t="n">
        <f aca="false">100-X19</f>
        <v>82.781678973589</v>
      </c>
    </row>
    <row r="20" customFormat="false" ht="12.8" hidden="false" customHeight="false" outlineLevel="0" collapsed="false">
      <c r="A20" s="1" t="n">
        <v>18</v>
      </c>
      <c r="B20" s="0" t="n">
        <v>6565.53917769634</v>
      </c>
      <c r="C20" s="0" t="n">
        <v>3.15865256569602</v>
      </c>
      <c r="D20" s="0" t="n">
        <v>42569.2345767957</v>
      </c>
      <c r="E20" s="0" t="n">
        <v>2.96905517578125</v>
      </c>
      <c r="F20" s="0" t="n">
        <v>78574.2683088919</v>
      </c>
      <c r="G20" s="0" t="n">
        <v>3.15085671164769</v>
      </c>
      <c r="H20" s="0" t="n">
        <v>114577.649615992</v>
      </c>
      <c r="I20" s="0" t="n">
        <v>2.97385475852281</v>
      </c>
      <c r="J20" s="0" t="n">
        <v>150583.029335087</v>
      </c>
      <c r="K20" s="0" t="n">
        <v>3.1556008078836</v>
      </c>
      <c r="L20" s="0" t="n">
        <v>186586.420643187</v>
      </c>
      <c r="M20" s="0" t="n">
        <v>2.974853515625</v>
      </c>
      <c r="N20" s="0" t="n">
        <v>222591.819369282</v>
      </c>
      <c r="O20" s="0" t="n">
        <v>3.1590964577414</v>
      </c>
      <c r="P20" s="0" t="n">
        <v>258595.246678382</v>
      </c>
      <c r="Q20" s="0" t="n">
        <v>2.97576904296875</v>
      </c>
      <c r="R20" s="0" t="n">
        <v>294600.832407477</v>
      </c>
      <c r="S20" s="0" t="n">
        <v>3.1597900390625</v>
      </c>
      <c r="T20" s="0" t="n">
        <v>330604.291716577</v>
      </c>
      <c r="U20" s="0" t="n">
        <v>2.97515869140625</v>
      </c>
      <c r="W20" s="0" t="n">
        <f aca="false">(1*B20)/3600</f>
        <v>1.82376088269343</v>
      </c>
      <c r="X20" s="0" t="n">
        <f aca="false">(W20/$W$101)*100</f>
        <v>18.2278536968206</v>
      </c>
      <c r="AG20" s="0" t="n">
        <f aca="false">$W$100-1*(D20-$D$2)/3600</f>
        <v>8.08621316766789</v>
      </c>
      <c r="AH20" s="0" t="n">
        <f aca="false">100-X20</f>
        <v>81.7721463031794</v>
      </c>
    </row>
    <row r="21" customFormat="false" ht="12.8" hidden="false" customHeight="false" outlineLevel="0" collapsed="false">
      <c r="A21" s="1" t="n">
        <v>19</v>
      </c>
      <c r="B21" s="0" t="n">
        <v>6929.16543940453</v>
      </c>
      <c r="C21" s="0" t="n">
        <v>3.15853851010101</v>
      </c>
      <c r="D21" s="0" t="n">
        <v>42932.8608385039</v>
      </c>
      <c r="E21" s="0" t="n">
        <v>2.9669189453125</v>
      </c>
      <c r="F21" s="0" t="n">
        <v>78937.8945706001</v>
      </c>
      <c r="G21" s="0" t="n">
        <v>3.15237334280315</v>
      </c>
      <c r="H21" s="0" t="n">
        <v>114941.2758777</v>
      </c>
      <c r="I21" s="0" t="n">
        <v>2.97119140625</v>
      </c>
      <c r="J21" s="0" t="n">
        <v>150946.655596796</v>
      </c>
      <c r="K21" s="0" t="n">
        <v>3.15588440557902</v>
      </c>
      <c r="L21" s="0" t="n">
        <v>186950.046904896</v>
      </c>
      <c r="M21" s="0" t="n">
        <v>2.97210693359375</v>
      </c>
      <c r="N21" s="0" t="n">
        <v>222955.445630991</v>
      </c>
      <c r="O21" s="0" t="n">
        <v>3.15982086489889</v>
      </c>
      <c r="P21" s="0" t="n">
        <v>258958.872940091</v>
      </c>
      <c r="Q21" s="0" t="n">
        <v>2.97332763671875</v>
      </c>
      <c r="R21" s="0" t="n">
        <v>294964.458669186</v>
      </c>
      <c r="S21" s="0" t="n">
        <v>3.1610107421875</v>
      </c>
      <c r="T21" s="0" t="n">
        <v>330967.917978286</v>
      </c>
      <c r="U21" s="0" t="n">
        <v>2.972412109375</v>
      </c>
      <c r="W21" s="0" t="n">
        <f aca="false">(1*B21)/3600</f>
        <v>1.92476817761237</v>
      </c>
      <c r="X21" s="0" t="n">
        <f aca="false">(W21/$W$101)*100</f>
        <v>19.2373863672302</v>
      </c>
      <c r="AG21" s="0" t="n">
        <f aca="false">$W$100-1*(D21-$D$2)/3600</f>
        <v>7.98520587274895</v>
      </c>
      <c r="AH21" s="0" t="n">
        <f aca="false">100-X21</f>
        <v>80.7626136327698</v>
      </c>
    </row>
    <row r="22" customFormat="false" ht="12.8" hidden="false" customHeight="false" outlineLevel="0" collapsed="false">
      <c r="A22" s="1" t="n">
        <v>20</v>
      </c>
      <c r="B22" s="0" t="n">
        <v>7292.79170111273</v>
      </c>
      <c r="C22" s="0" t="n">
        <v>3.15887451171875</v>
      </c>
      <c r="D22" s="0" t="n">
        <v>43296.4871002121</v>
      </c>
      <c r="E22" s="0" t="n">
        <v>2.965087890625</v>
      </c>
      <c r="F22" s="0" t="n">
        <v>79301.5208323083</v>
      </c>
      <c r="G22" s="0" t="n">
        <v>3.15277099609375</v>
      </c>
      <c r="H22" s="0" t="n">
        <v>115304.902139408</v>
      </c>
      <c r="I22" s="0" t="n">
        <v>2.96905517578125</v>
      </c>
      <c r="J22" s="0" t="n">
        <v>151310.281858504</v>
      </c>
      <c r="K22" s="0" t="n">
        <v>3.15688316268146</v>
      </c>
      <c r="L22" s="0" t="n">
        <v>187313.673166604</v>
      </c>
      <c r="M22" s="0" t="n">
        <v>2.969970703125</v>
      </c>
      <c r="N22" s="0" t="n">
        <v>223319.071892699</v>
      </c>
      <c r="O22" s="0" t="n">
        <v>3.16024009627521</v>
      </c>
      <c r="P22" s="0" t="n">
        <v>259322.499201799</v>
      </c>
      <c r="Q22" s="0" t="n">
        <v>2.97119140625</v>
      </c>
      <c r="R22" s="0" t="n">
        <v>295328.084930894</v>
      </c>
      <c r="S22" s="0" t="n">
        <v>3.1614607994002</v>
      </c>
      <c r="T22" s="0" t="n">
        <v>331331.544239994</v>
      </c>
      <c r="U22" s="0" t="n">
        <v>2.97027587890625</v>
      </c>
      <c r="W22" s="0" t="n">
        <f aca="false">(1*B22)/3600</f>
        <v>2.02577547253131</v>
      </c>
      <c r="X22" s="0" t="n">
        <f aca="false">(W22/$W$101)*100</f>
        <v>20.2469190376399</v>
      </c>
      <c r="AG22" s="0" t="n">
        <f aca="false">$W$100-1*(D22-$D$2)/3600</f>
        <v>7.88419857783</v>
      </c>
      <c r="AH22" s="0" t="n">
        <f aca="false">100-X22</f>
        <v>79.7530809623601</v>
      </c>
    </row>
    <row r="23" customFormat="false" ht="12.8" hidden="false" customHeight="false" outlineLevel="0" collapsed="false">
      <c r="A23" s="1" t="n">
        <v>21</v>
      </c>
      <c r="B23" s="0" t="n">
        <v>7656.41796282092</v>
      </c>
      <c r="C23" s="0" t="n">
        <v>3.15873579545455</v>
      </c>
      <c r="D23" s="0" t="n">
        <v>43660.1133619203</v>
      </c>
      <c r="E23" s="0" t="n">
        <v>2.9638671875</v>
      </c>
      <c r="F23" s="0" t="n">
        <v>79665.1470940165</v>
      </c>
      <c r="G23" s="0" t="n">
        <v>3.15312241062978</v>
      </c>
      <c r="H23" s="0" t="n">
        <v>115668.528401116</v>
      </c>
      <c r="I23" s="0" t="n">
        <v>2.96722412109375</v>
      </c>
      <c r="J23" s="0" t="n">
        <v>151673.908120212</v>
      </c>
      <c r="K23" s="0" t="n">
        <v>3.15744111032195</v>
      </c>
      <c r="L23" s="0" t="n">
        <v>187677.299428312</v>
      </c>
      <c r="M23" s="0" t="n">
        <v>2.9681396484375</v>
      </c>
      <c r="N23" s="0" t="n">
        <v>223682.698154407</v>
      </c>
      <c r="O23" s="0" t="n">
        <v>3.16070556640625</v>
      </c>
      <c r="P23" s="0" t="n">
        <v>259686.125463507</v>
      </c>
      <c r="Q23" s="0" t="n">
        <v>2.96905517578125</v>
      </c>
      <c r="R23" s="0" t="n">
        <v>295691.711192602</v>
      </c>
      <c r="S23" s="0" t="n">
        <v>3.16192626953125</v>
      </c>
      <c r="T23" s="0" t="n">
        <v>331695.170501702</v>
      </c>
      <c r="U23" s="0" t="n">
        <v>2.9681396484375</v>
      </c>
      <c r="W23" s="0" t="n">
        <f aca="false">(1*B23)/3600</f>
        <v>2.12678276745026</v>
      </c>
      <c r="X23" s="0" t="n">
        <f aca="false">(W23/$W$101)*100</f>
        <v>21.2564517080495</v>
      </c>
      <c r="AG23" s="0" t="n">
        <f aca="false">$W$100-1*(D23-$D$2)/3600</f>
        <v>7.78319128291106</v>
      </c>
      <c r="AH23" s="0" t="n">
        <f aca="false">100-X23</f>
        <v>78.7435482919505</v>
      </c>
    </row>
    <row r="24" customFormat="false" ht="12.8" hidden="false" customHeight="false" outlineLevel="0" collapsed="false">
      <c r="A24" s="1" t="n">
        <v>22</v>
      </c>
      <c r="B24" s="0" t="n">
        <v>8020.04422452911</v>
      </c>
      <c r="C24" s="0" t="n">
        <v>3.157958984375</v>
      </c>
      <c r="D24" s="0" t="n">
        <v>44023.7396236285</v>
      </c>
      <c r="E24" s="0" t="n">
        <v>2.96295166015625</v>
      </c>
      <c r="F24" s="0" t="n">
        <v>80028.7733557247</v>
      </c>
      <c r="G24" s="0" t="n">
        <v>3.15375434027773</v>
      </c>
      <c r="H24" s="0" t="n">
        <v>116032.154662824</v>
      </c>
      <c r="I24" s="0" t="n">
        <v>2.9656982421875</v>
      </c>
      <c r="J24" s="0" t="n">
        <v>152037.53438192</v>
      </c>
      <c r="K24" s="0" t="n">
        <v>3.15819634331597</v>
      </c>
      <c r="L24" s="0" t="n">
        <v>188040.92569002</v>
      </c>
      <c r="M24" s="0" t="n">
        <v>2.96630859375</v>
      </c>
      <c r="N24" s="0" t="n">
        <v>224046.324416115</v>
      </c>
      <c r="O24" s="0" t="n">
        <v>3.16145155164931</v>
      </c>
      <c r="P24" s="0" t="n">
        <v>260049.751725215</v>
      </c>
      <c r="Q24" s="0" t="n">
        <v>2.967529296875</v>
      </c>
      <c r="R24" s="0" t="n">
        <v>296055.33745431</v>
      </c>
      <c r="S24" s="0" t="n">
        <v>3.16185845269097</v>
      </c>
      <c r="T24" s="0" t="n">
        <v>332058.79676341</v>
      </c>
      <c r="U24" s="0" t="n">
        <v>2.96661376953125</v>
      </c>
      <c r="W24" s="0" t="n">
        <f aca="false">(1*B24)/3600</f>
        <v>2.2277900623692</v>
      </c>
      <c r="X24" s="0" t="n">
        <f aca="false">(W24/$W$101)*100</f>
        <v>22.2659843784591</v>
      </c>
      <c r="AG24" s="0" t="n">
        <f aca="false">$W$100-1*(D24-$D$2)/3600</f>
        <v>7.68218398799211</v>
      </c>
      <c r="AH24" s="0" t="n">
        <f aca="false">100-X24</f>
        <v>77.7340156215409</v>
      </c>
    </row>
    <row r="25" customFormat="false" ht="12.8" hidden="false" customHeight="false" outlineLevel="0" collapsed="false">
      <c r="A25" s="1" t="n">
        <v>23</v>
      </c>
      <c r="B25" s="0" t="n">
        <v>8383.67048623731</v>
      </c>
      <c r="C25" s="0" t="n">
        <v>3.15759523950442</v>
      </c>
      <c r="D25" s="0" t="n">
        <v>44387.3658853367</v>
      </c>
      <c r="E25" s="0" t="n">
        <v>2.9620361328125</v>
      </c>
      <c r="F25" s="0" t="n">
        <v>80392.3996174329</v>
      </c>
      <c r="G25" s="0" t="n">
        <v>3.15447874743525</v>
      </c>
      <c r="H25" s="0" t="n">
        <v>116395.780924533</v>
      </c>
      <c r="I25" s="0" t="n">
        <v>2.9644775390625</v>
      </c>
      <c r="J25" s="0" t="n">
        <v>152401.160643628</v>
      </c>
      <c r="K25" s="0" t="n">
        <v>3.15875120837273</v>
      </c>
      <c r="L25" s="0" t="n">
        <v>188404.551951728</v>
      </c>
      <c r="M25" s="0" t="n">
        <v>2.965087890625</v>
      </c>
      <c r="N25" s="0" t="n">
        <v>224409.950677823</v>
      </c>
      <c r="O25" s="0" t="n">
        <v>3.16162109375</v>
      </c>
      <c r="P25" s="0" t="n">
        <v>260413.377986923</v>
      </c>
      <c r="Q25" s="0" t="n">
        <v>2.96600341796875</v>
      </c>
      <c r="R25" s="0" t="n">
        <v>296418.963716018</v>
      </c>
      <c r="S25" s="0" t="n">
        <v>3.16290036596421</v>
      </c>
      <c r="T25" s="0" t="n">
        <v>332422.423025118</v>
      </c>
      <c r="U25" s="0" t="n">
        <v>2.965087890625</v>
      </c>
      <c r="W25" s="0" t="n">
        <f aca="false">(1*B25)/3600</f>
        <v>2.32879735728814</v>
      </c>
      <c r="X25" s="0" t="n">
        <f aca="false">(W25/$W$101)*100</f>
        <v>23.2755170488687</v>
      </c>
      <c r="AG25" s="0" t="n">
        <f aca="false">$W$100-1*(D25-$D$2)/3600</f>
        <v>7.58117669307317</v>
      </c>
      <c r="AH25" s="0" t="n">
        <f aca="false">100-X25</f>
        <v>76.7244829511313</v>
      </c>
    </row>
    <row r="26" customFormat="false" ht="12.8" hidden="false" customHeight="false" outlineLevel="0" collapsed="false">
      <c r="A26" s="1" t="n">
        <v>24</v>
      </c>
      <c r="B26" s="0" t="n">
        <v>8747.2967479455</v>
      </c>
      <c r="C26" s="0" t="n">
        <v>3.15824566465435</v>
      </c>
      <c r="D26" s="0" t="n">
        <v>44750.9921470449</v>
      </c>
      <c r="E26" s="0" t="n">
        <v>2.96112060546875</v>
      </c>
      <c r="F26" s="0" t="n">
        <v>80756.0258791411</v>
      </c>
      <c r="G26" s="0" t="n">
        <v>3.15430612275099</v>
      </c>
      <c r="H26" s="0" t="n">
        <v>116759.407186241</v>
      </c>
      <c r="I26" s="0" t="n">
        <v>2.96356201171875</v>
      </c>
      <c r="J26" s="0" t="n">
        <v>152764.786905337</v>
      </c>
      <c r="K26" s="0" t="n">
        <v>3.15859707919066</v>
      </c>
      <c r="L26" s="0" t="n">
        <v>188768.178213437</v>
      </c>
      <c r="M26" s="0" t="n">
        <v>2.9638671875</v>
      </c>
      <c r="N26" s="0" t="n">
        <v>224773.576939532</v>
      </c>
      <c r="O26" s="0" t="n">
        <v>3.16222219756145</v>
      </c>
      <c r="P26" s="0" t="n">
        <v>260777.004248632</v>
      </c>
      <c r="Q26" s="0" t="n">
        <v>2.96478271484375</v>
      </c>
      <c r="R26" s="0" t="n">
        <v>296782.589977727</v>
      </c>
      <c r="S26" s="0" t="n">
        <v>3.16283254912395</v>
      </c>
      <c r="T26" s="0" t="n">
        <v>332786.049286827</v>
      </c>
      <c r="U26" s="0" t="n">
        <v>2.96356201171875</v>
      </c>
      <c r="W26" s="0" t="n">
        <f aca="false">(1*B26)/3600</f>
        <v>2.42980465220708</v>
      </c>
      <c r="X26" s="0" t="n">
        <f aca="false">(W26/$W$101)*100</f>
        <v>24.2850497192783</v>
      </c>
      <c r="AG26" s="0" t="n">
        <f aca="false">$W$100-1*(D26-$D$2)/3600</f>
        <v>7.48016939815422</v>
      </c>
      <c r="AH26" s="0" t="n">
        <f aca="false">100-X26</f>
        <v>75.7149502807217</v>
      </c>
    </row>
    <row r="27" customFormat="false" ht="12.8" hidden="false" customHeight="false" outlineLevel="0" collapsed="false">
      <c r="A27" s="1" t="n">
        <v>25</v>
      </c>
      <c r="B27" s="0" t="n">
        <v>9110.9230096537</v>
      </c>
      <c r="C27" s="0" t="n">
        <v>3.15825491240531</v>
      </c>
      <c r="D27" s="0" t="n">
        <v>45114.6184087531</v>
      </c>
      <c r="E27" s="0" t="n">
        <v>2.960205078125</v>
      </c>
      <c r="F27" s="0" t="n">
        <v>81119.6521408493</v>
      </c>
      <c r="G27" s="0" t="n">
        <v>3.15449724293723</v>
      </c>
      <c r="H27" s="0" t="n">
        <v>117123.033447949</v>
      </c>
      <c r="I27" s="0" t="n">
        <v>2.962646484375</v>
      </c>
      <c r="J27" s="0" t="n">
        <v>153128.413167045</v>
      </c>
      <c r="K27" s="0" t="n">
        <v>3.15948486328125</v>
      </c>
      <c r="L27" s="0" t="n">
        <v>189131.804475145</v>
      </c>
      <c r="M27" s="0" t="n">
        <v>2.96295166015625</v>
      </c>
      <c r="N27" s="0" t="n">
        <v>225137.20320124</v>
      </c>
      <c r="O27" s="0" t="n">
        <v>3.16252737334298</v>
      </c>
      <c r="P27" s="0" t="n">
        <v>261140.63051034</v>
      </c>
      <c r="Q27" s="0" t="n">
        <v>2.96356201171875</v>
      </c>
      <c r="R27" s="0" t="n">
        <v>297146.216239435</v>
      </c>
      <c r="S27" s="0" t="n">
        <v>3.1634521484375</v>
      </c>
      <c r="T27" s="0" t="n">
        <v>333149.675548535</v>
      </c>
      <c r="U27" s="0" t="n">
        <v>2.962646484375</v>
      </c>
      <c r="W27" s="0" t="n">
        <f aca="false">(1*B27)/3600</f>
        <v>2.53081194712603</v>
      </c>
      <c r="X27" s="0" t="n">
        <f aca="false">(W27/$W$101)*100</f>
        <v>25.294582389688</v>
      </c>
      <c r="AG27" s="0" t="n">
        <f aca="false">$W$100-1*(D27-$D$2)/3600</f>
        <v>7.37916210323528</v>
      </c>
      <c r="AH27" s="0" t="n">
        <f aca="false">100-X27</f>
        <v>74.705417610312</v>
      </c>
    </row>
    <row r="28" customFormat="false" ht="12.8" hidden="false" customHeight="false" outlineLevel="0" collapsed="false">
      <c r="A28" s="1" t="n">
        <v>26</v>
      </c>
      <c r="B28" s="0" t="n">
        <v>9474.54927136189</v>
      </c>
      <c r="C28" s="0" t="n">
        <v>3.15765380859375</v>
      </c>
      <c r="D28" s="0" t="n">
        <v>45478.2446704613</v>
      </c>
      <c r="E28" s="0" t="n">
        <v>2.9595947265625</v>
      </c>
      <c r="F28" s="0" t="n">
        <v>81483.2784025575</v>
      </c>
      <c r="G28" s="0" t="n">
        <v>3.15499353890472</v>
      </c>
      <c r="H28" s="0" t="n">
        <v>117486.659709657</v>
      </c>
      <c r="I28" s="0" t="n">
        <v>2.9620361328125</v>
      </c>
      <c r="J28" s="0" t="n">
        <v>153492.039428753</v>
      </c>
      <c r="K28" s="0" t="n">
        <v>3.1597900390625</v>
      </c>
      <c r="L28" s="0" t="n">
        <v>189495.430736853</v>
      </c>
      <c r="M28" s="0" t="n">
        <v>2.9620361328125</v>
      </c>
      <c r="N28" s="0" t="n">
        <v>225500.829462948</v>
      </c>
      <c r="O28" s="0" t="n">
        <v>3.16240406999684</v>
      </c>
      <c r="P28" s="0" t="n">
        <v>261504.256772048</v>
      </c>
      <c r="Q28" s="0" t="n">
        <v>2.962646484375</v>
      </c>
      <c r="R28" s="0" t="n">
        <v>297509.842501143</v>
      </c>
      <c r="S28" s="0" t="n">
        <v>3.16327952375315</v>
      </c>
      <c r="T28" s="0" t="n">
        <v>333513.301810243</v>
      </c>
      <c r="U28" s="0" t="n">
        <v>2.96142578125</v>
      </c>
      <c r="W28" s="0" t="n">
        <f aca="false">(1*B28)/3600</f>
        <v>2.63181924204497</v>
      </c>
      <c r="X28" s="0" t="n">
        <f aca="false">(W28/$W$101)*100</f>
        <v>26.3041150600976</v>
      </c>
      <c r="AG28" s="0" t="n">
        <f aca="false">$W$100-1*(D28-$D$2)/3600</f>
        <v>7.27815480831633</v>
      </c>
      <c r="AH28" s="0" t="n">
        <f aca="false">100-X28</f>
        <v>73.6958849399024</v>
      </c>
    </row>
    <row r="29" customFormat="false" ht="12.8" hidden="false" customHeight="false" outlineLevel="0" collapsed="false">
      <c r="A29" s="1" t="n">
        <v>27</v>
      </c>
      <c r="B29" s="0" t="n">
        <v>9838.17553307009</v>
      </c>
      <c r="C29" s="0" t="n">
        <v>3.15826416015625</v>
      </c>
      <c r="D29" s="0" t="n">
        <v>45841.8709321695</v>
      </c>
      <c r="E29" s="0" t="n">
        <v>2.95867919921875</v>
      </c>
      <c r="F29" s="0" t="n">
        <v>81846.9046642657</v>
      </c>
      <c r="G29" s="0" t="n">
        <v>3.15557306463058</v>
      </c>
      <c r="H29" s="0" t="n">
        <v>117850.285971365</v>
      </c>
      <c r="I29" s="0" t="n">
        <v>2.96142578125</v>
      </c>
      <c r="J29" s="0" t="n">
        <v>153855.665690461</v>
      </c>
      <c r="K29" s="0" t="n">
        <v>3.16012295809662</v>
      </c>
      <c r="L29" s="0" t="n">
        <v>189859.056998561</v>
      </c>
      <c r="M29" s="0" t="n">
        <v>2.96142578125</v>
      </c>
      <c r="N29" s="0" t="n">
        <v>225864.455724656</v>
      </c>
      <c r="O29" s="0" t="n">
        <v>3.16309148615051</v>
      </c>
      <c r="P29" s="0" t="n">
        <v>261867.883033756</v>
      </c>
      <c r="Q29" s="0" t="n">
        <v>2.9620361328125</v>
      </c>
      <c r="R29" s="0" t="n">
        <v>297873.468762851</v>
      </c>
      <c r="S29" s="0" t="n">
        <v>3.16370183771301</v>
      </c>
      <c r="T29" s="0" t="n">
        <v>333876.928071951</v>
      </c>
      <c r="U29" s="0" t="n">
        <v>2.9608154296875</v>
      </c>
      <c r="W29" s="0" t="n">
        <f aca="false">(1*B29)/3600</f>
        <v>2.73282653696391</v>
      </c>
      <c r="X29" s="0" t="n">
        <f aca="false">(W29/$W$101)*100</f>
        <v>27.3136477305072</v>
      </c>
      <c r="AG29" s="0" t="n">
        <f aca="false">$W$100-1*(D29-$D$2)/3600</f>
        <v>7.17714751339739</v>
      </c>
      <c r="AH29" s="0" t="n">
        <f aca="false">100-X29</f>
        <v>72.6863522694928</v>
      </c>
    </row>
    <row r="30" customFormat="false" ht="12.8" hidden="false" customHeight="false" outlineLevel="0" collapsed="false">
      <c r="A30" s="1" t="n">
        <v>28</v>
      </c>
      <c r="B30" s="0" t="n">
        <v>10201.8017947783</v>
      </c>
      <c r="C30" s="0" t="n">
        <v>3.15798056246052</v>
      </c>
      <c r="D30" s="0" t="n">
        <v>46205.4971938777</v>
      </c>
      <c r="E30" s="0" t="n">
        <v>2.957763671875</v>
      </c>
      <c r="F30" s="0" t="n">
        <v>82210.5309259739</v>
      </c>
      <c r="G30" s="0" t="n">
        <v>3.15568095505844</v>
      </c>
      <c r="H30" s="0" t="n">
        <v>118213.912233074</v>
      </c>
      <c r="I30" s="0" t="n">
        <v>2.9608154296875</v>
      </c>
      <c r="J30" s="0" t="n">
        <v>154219.291952169</v>
      </c>
      <c r="K30" s="0" t="n">
        <v>3.16052061138724</v>
      </c>
      <c r="L30" s="0" t="n">
        <v>190222.683260269</v>
      </c>
      <c r="M30" s="0" t="n">
        <v>2.9608154296875</v>
      </c>
      <c r="N30" s="0" t="n">
        <v>226228.081986364</v>
      </c>
      <c r="O30" s="0" t="n">
        <v>3.16343057035191</v>
      </c>
      <c r="P30" s="0" t="n">
        <v>262231.509295464</v>
      </c>
      <c r="Q30" s="0" t="n">
        <v>2.96126240431657</v>
      </c>
      <c r="R30" s="0" t="n">
        <v>298237.095024559</v>
      </c>
      <c r="S30" s="0" t="n">
        <v>3.16377890230466</v>
      </c>
      <c r="T30" s="0" t="n">
        <v>334240.554333659</v>
      </c>
      <c r="U30" s="0" t="n">
        <v>2.95989990234375</v>
      </c>
      <c r="W30" s="0" t="n">
        <f aca="false">(1*B30)/3600</f>
        <v>2.83383383188286</v>
      </c>
      <c r="X30" s="0" t="n">
        <f aca="false">(W30/$W$101)*100</f>
        <v>28.3231804009169</v>
      </c>
      <c r="AG30" s="0" t="n">
        <f aca="false">$W$100-1*(D30-$D$2)/3600</f>
        <v>7.07614021847845</v>
      </c>
      <c r="AH30" s="0" t="n">
        <f aca="false">100-X30</f>
        <v>71.6768195990831</v>
      </c>
    </row>
    <row r="31" customFormat="false" ht="12.8" hidden="false" customHeight="false" outlineLevel="0" collapsed="false">
      <c r="A31" s="1" t="n">
        <v>29</v>
      </c>
      <c r="B31" s="0" t="n">
        <v>10565.4280564865</v>
      </c>
      <c r="C31" s="0" t="n">
        <v>3.15852001459912</v>
      </c>
      <c r="D31" s="0" t="n">
        <v>46569.1234555859</v>
      </c>
      <c r="E31" s="0" t="n">
        <v>2.9571533203125</v>
      </c>
      <c r="F31" s="0" t="n">
        <v>82574.1571876821</v>
      </c>
      <c r="G31" s="0" t="n">
        <v>3.15592139658312</v>
      </c>
      <c r="H31" s="0" t="n">
        <v>118577.538494782</v>
      </c>
      <c r="I31" s="0" t="n">
        <v>2.960205078125</v>
      </c>
      <c r="J31" s="0" t="n">
        <v>154582.918213878</v>
      </c>
      <c r="K31" s="0" t="n">
        <v>3.16065624506779</v>
      </c>
      <c r="L31" s="0" t="n">
        <v>190586.309521978</v>
      </c>
      <c r="M31" s="0" t="n">
        <v>2.960205078125</v>
      </c>
      <c r="N31" s="0" t="n">
        <v>226591.708248073</v>
      </c>
      <c r="O31" s="0" t="n">
        <v>3.16319629399471</v>
      </c>
      <c r="P31" s="0" t="n">
        <v>262595.135557173</v>
      </c>
      <c r="Q31" s="0" t="n">
        <v>2.9608154296875</v>
      </c>
      <c r="R31" s="0" t="n">
        <v>298600.721286268</v>
      </c>
      <c r="S31" s="0" t="n">
        <v>3.16421971176584</v>
      </c>
      <c r="T31" s="0" t="n">
        <v>334604.180595368</v>
      </c>
      <c r="U31" s="0" t="n">
        <v>2.95928955078125</v>
      </c>
      <c r="W31" s="0" t="n">
        <f aca="false">(1*B31)/3600</f>
        <v>2.93484112680181</v>
      </c>
      <c r="X31" s="0" t="n">
        <f aca="false">(W31/$W$101)*100</f>
        <v>29.3327130713265</v>
      </c>
      <c r="AG31" s="0" t="n">
        <f aca="false">$W$100-1*(D31-$D$2)/3600</f>
        <v>6.9751329235595</v>
      </c>
      <c r="AH31" s="0" t="n">
        <f aca="false">100-X31</f>
        <v>70.6672869286735</v>
      </c>
    </row>
    <row r="32" customFormat="false" ht="12.8" hidden="false" customHeight="false" outlineLevel="0" collapsed="false">
      <c r="A32" s="1" t="n">
        <v>30</v>
      </c>
      <c r="B32" s="0" t="n">
        <v>10929.0543181947</v>
      </c>
      <c r="C32" s="0" t="n">
        <v>3.15850460168086</v>
      </c>
      <c r="D32" s="0" t="n">
        <v>46932.7497172941</v>
      </c>
      <c r="E32" s="0" t="n">
        <v>2.95623779296875</v>
      </c>
      <c r="F32" s="0" t="n">
        <v>82937.7834493903</v>
      </c>
      <c r="G32" s="0" t="n">
        <v>3.15619266394408</v>
      </c>
      <c r="H32" s="0" t="n">
        <v>118941.16475649</v>
      </c>
      <c r="I32" s="0" t="n">
        <v>2.95928955078125</v>
      </c>
      <c r="J32" s="0" t="n">
        <v>154946.544475586</v>
      </c>
      <c r="K32" s="0" t="n">
        <v>3.16114021070062</v>
      </c>
      <c r="L32" s="0" t="n">
        <v>190949.935783686</v>
      </c>
      <c r="M32" s="0" t="n">
        <v>2.9595947265625</v>
      </c>
      <c r="N32" s="0" t="n">
        <v>226955.334509781</v>
      </c>
      <c r="O32" s="0" t="n">
        <v>3.16351688269406</v>
      </c>
      <c r="P32" s="0" t="n">
        <v>262958.761818881</v>
      </c>
      <c r="Q32" s="0" t="n">
        <v>2.960205078125</v>
      </c>
      <c r="R32" s="0" t="n">
        <v>298964.347547976</v>
      </c>
      <c r="S32" s="0" t="n">
        <v>3.16351688269405</v>
      </c>
      <c r="T32" s="0" t="n">
        <v>334967.806857076</v>
      </c>
      <c r="U32" s="0" t="n">
        <v>2.95867919921875</v>
      </c>
      <c r="W32" s="0" t="n">
        <f aca="false">(1*B32)/3600</f>
        <v>3.03584842172075</v>
      </c>
      <c r="X32" s="0" t="n">
        <f aca="false">(W32/$W$101)*100</f>
        <v>30.3422457417362</v>
      </c>
      <c r="AG32" s="0" t="n">
        <f aca="false">$W$100-1*(D32-$D$2)/3600</f>
        <v>6.87412562864056</v>
      </c>
      <c r="AH32" s="0" t="n">
        <f aca="false">100-X32</f>
        <v>69.6577542582638</v>
      </c>
    </row>
    <row r="33" customFormat="false" ht="12.8" hidden="false" customHeight="false" outlineLevel="0" collapsed="false">
      <c r="A33" s="1" t="n">
        <v>31</v>
      </c>
      <c r="B33" s="0" t="n">
        <v>11292.6805799029</v>
      </c>
      <c r="C33" s="0" t="n">
        <v>3.15851693201547</v>
      </c>
      <c r="D33" s="0" t="n">
        <v>47296.3759790022</v>
      </c>
      <c r="E33" s="0" t="n">
        <v>2.95562744140625</v>
      </c>
      <c r="F33" s="0" t="n">
        <v>83301.4097110985</v>
      </c>
      <c r="G33" s="0" t="n">
        <v>3.15704345703125</v>
      </c>
      <c r="H33" s="0" t="n">
        <v>119304.791018198</v>
      </c>
      <c r="I33" s="0" t="n">
        <v>2.95867919921875</v>
      </c>
      <c r="J33" s="0" t="n">
        <v>155310.170737294</v>
      </c>
      <c r="K33" s="0" t="n">
        <v>3.16136832189074</v>
      </c>
      <c r="L33" s="0" t="n">
        <v>191313.562045394</v>
      </c>
      <c r="M33" s="0" t="n">
        <v>2.958984375</v>
      </c>
      <c r="N33" s="0" t="n">
        <v>227318.960771489</v>
      </c>
      <c r="O33" s="0" t="n">
        <v>3.16386213206273</v>
      </c>
      <c r="P33" s="0" t="n">
        <v>263322.388080589</v>
      </c>
      <c r="Q33" s="0" t="n">
        <v>2.9595947265625</v>
      </c>
      <c r="R33" s="0" t="n">
        <v>299327.973809684</v>
      </c>
      <c r="S33" s="0" t="n">
        <v>3.16442007970327</v>
      </c>
      <c r="T33" s="0" t="n">
        <v>335331.433118784</v>
      </c>
      <c r="U33" s="0" t="n">
        <v>2.9583740234375</v>
      </c>
      <c r="W33" s="0" t="n">
        <f aca="false">(1*B33)/3600</f>
        <v>3.13685571663969</v>
      </c>
      <c r="X33" s="0" t="n">
        <f aca="false">(W33/$W$101)*100</f>
        <v>31.3517784121458</v>
      </c>
      <c r="AG33" s="0" t="n">
        <f aca="false">$W$100-1*(D33-$D$2)/3600</f>
        <v>6.77311833372164</v>
      </c>
      <c r="AH33" s="0" t="n">
        <f aca="false">100-X33</f>
        <v>68.6482215878542</v>
      </c>
    </row>
    <row r="34" customFormat="false" ht="12.8" hidden="false" customHeight="false" outlineLevel="0" collapsed="false">
      <c r="A34" s="1" t="n">
        <v>32</v>
      </c>
      <c r="B34" s="0" t="n">
        <v>11656.3068416111</v>
      </c>
      <c r="C34" s="0" t="n">
        <v>3.15946020261208</v>
      </c>
      <c r="D34" s="0" t="n">
        <v>47660.0022407104</v>
      </c>
      <c r="E34" s="0" t="n">
        <v>2.95501708984375</v>
      </c>
      <c r="F34" s="0" t="n">
        <v>83665.0359728067</v>
      </c>
      <c r="G34" s="0" t="n">
        <v>3.15732397214321</v>
      </c>
      <c r="H34" s="0" t="n">
        <v>119668.417279906</v>
      </c>
      <c r="I34" s="0" t="n">
        <v>2.95806884765625</v>
      </c>
      <c r="J34" s="0" t="n">
        <v>155673.796999002</v>
      </c>
      <c r="K34" s="0" t="n">
        <v>3.1619139391967</v>
      </c>
      <c r="L34" s="0" t="n">
        <v>191677.188307102</v>
      </c>
      <c r="M34" s="0" t="n">
        <v>2.9583740234375</v>
      </c>
      <c r="N34" s="0" t="n">
        <v>227682.587033197</v>
      </c>
      <c r="O34" s="0" t="n">
        <v>3.1637449938842</v>
      </c>
      <c r="P34" s="0" t="n">
        <v>263686.014342297</v>
      </c>
      <c r="Q34" s="0" t="n">
        <v>2.958984375</v>
      </c>
      <c r="R34" s="0" t="n">
        <v>299691.600071392</v>
      </c>
      <c r="S34" s="0" t="n">
        <v>3.16378198488785</v>
      </c>
      <c r="T34" s="0" t="n">
        <v>335695.059380492</v>
      </c>
      <c r="U34" s="0" t="n">
        <v>2.957763671875</v>
      </c>
      <c r="W34" s="0" t="n">
        <f aca="false">(1*B34)/3600</f>
        <v>3.23786301155864</v>
      </c>
      <c r="X34" s="0" t="n">
        <f aca="false">(W34/$W$101)*100</f>
        <v>32.3613110825554</v>
      </c>
      <c r="AG34" s="0" t="n">
        <f aca="false">$W$100-1*(D34-$D$2)/3600</f>
        <v>6.6721110388027</v>
      </c>
      <c r="AH34" s="0" t="n">
        <f aca="false">100-X34</f>
        <v>67.6386889174446</v>
      </c>
    </row>
    <row r="35" customFormat="false" ht="12.8" hidden="false" customHeight="false" outlineLevel="0" collapsed="false">
      <c r="A35" s="1" t="n">
        <v>33</v>
      </c>
      <c r="B35" s="0" t="n">
        <v>12019.9331033193</v>
      </c>
      <c r="C35" s="0" t="n">
        <v>3.15897623697918</v>
      </c>
      <c r="D35" s="0" t="n">
        <v>48023.6285024186</v>
      </c>
      <c r="E35" s="0" t="n">
        <v>2.9541015625</v>
      </c>
      <c r="F35" s="0" t="n">
        <v>84028.6622345149</v>
      </c>
      <c r="G35" s="0" t="n">
        <v>3.15755208333338</v>
      </c>
      <c r="H35" s="0" t="n">
        <v>120032.043541615</v>
      </c>
      <c r="I35" s="0" t="n">
        <v>2.9571533203125</v>
      </c>
      <c r="J35" s="0" t="n">
        <v>156037.42326071</v>
      </c>
      <c r="K35" s="0" t="n">
        <v>3.16233317057292</v>
      </c>
      <c r="L35" s="0" t="n">
        <v>192040.81456881</v>
      </c>
      <c r="M35" s="0" t="n">
        <v>2.957763671875</v>
      </c>
      <c r="N35" s="0" t="n">
        <v>228046.213294905</v>
      </c>
      <c r="O35" s="0" t="n">
        <v>3.16375732421875</v>
      </c>
      <c r="P35" s="0" t="n">
        <v>264049.640604005</v>
      </c>
      <c r="Q35" s="0" t="n">
        <v>2.9583740234375</v>
      </c>
      <c r="R35" s="0" t="n">
        <v>300055.2263331</v>
      </c>
      <c r="S35" s="0" t="n">
        <v>3.16426595052083</v>
      </c>
      <c r="T35" s="0" t="n">
        <v>336058.6856422</v>
      </c>
      <c r="U35" s="0" t="n">
        <v>2.9571533203125</v>
      </c>
      <c r="W35" s="0" t="n">
        <f aca="false">(1*B35)/3600</f>
        <v>3.33887030647758</v>
      </c>
      <c r="X35" s="0" t="n">
        <f aca="false">(W35/$W$101)*100</f>
        <v>33.3708437529651</v>
      </c>
      <c r="AG35" s="0" t="n">
        <f aca="false">$W$100-1*(D35-$D$2)/3600</f>
        <v>6.57110374388375</v>
      </c>
      <c r="AH35" s="0" t="n">
        <f aca="false">100-X35</f>
        <v>66.6291562470349</v>
      </c>
    </row>
    <row r="36" customFormat="false" ht="12.8" hidden="false" customHeight="false" outlineLevel="0" collapsed="false">
      <c r="A36" s="1" t="n">
        <v>34</v>
      </c>
      <c r="B36" s="0" t="n">
        <v>12383.5593650275</v>
      </c>
      <c r="C36" s="0" t="n">
        <v>3.1598270300663</v>
      </c>
      <c r="D36" s="0" t="n">
        <v>48387.2547641268</v>
      </c>
      <c r="E36" s="0" t="n">
        <v>2.9534912109375</v>
      </c>
      <c r="F36" s="0" t="n">
        <v>84392.2884962231</v>
      </c>
      <c r="G36" s="0" t="n">
        <v>3.15756441366787</v>
      </c>
      <c r="H36" s="0" t="n">
        <v>120395.669803323</v>
      </c>
      <c r="I36" s="0" t="n">
        <v>2.95654296875</v>
      </c>
      <c r="J36" s="0" t="n">
        <v>156401.049522419</v>
      </c>
      <c r="K36" s="0" t="n">
        <v>3.16183687460537</v>
      </c>
      <c r="L36" s="0" t="n">
        <v>192404.440830519</v>
      </c>
      <c r="M36" s="0" t="n">
        <v>2.9571533203125</v>
      </c>
      <c r="N36" s="0" t="n">
        <v>228409.839556614</v>
      </c>
      <c r="O36" s="0" t="n">
        <v>3.16402550899639</v>
      </c>
      <c r="P36" s="0" t="n">
        <v>264413.266865714</v>
      </c>
      <c r="Q36" s="0" t="n">
        <v>2.957763671875</v>
      </c>
      <c r="R36" s="0" t="n">
        <v>300418.852594809</v>
      </c>
      <c r="S36" s="0" t="n">
        <v>3.16429369377395</v>
      </c>
      <c r="T36" s="0" t="n">
        <v>336422.311903909</v>
      </c>
      <c r="U36" s="0" t="n">
        <v>2.95684814453125</v>
      </c>
      <c r="W36" s="0" t="n">
        <f aca="false">(1*B36)/3600</f>
        <v>3.43987760139653</v>
      </c>
      <c r="X36" s="0" t="n">
        <f aca="false">(W36/$W$101)*100</f>
        <v>34.3803764233747</v>
      </c>
      <c r="AG36" s="0" t="n">
        <f aca="false">$W$100-1*(D36-$D$2)/3600</f>
        <v>6.47009644896481</v>
      </c>
      <c r="AH36" s="0" t="n">
        <f aca="false">100-X36</f>
        <v>65.6196235766253</v>
      </c>
    </row>
    <row r="37" customFormat="false" ht="12.8" hidden="false" customHeight="false" outlineLevel="0" collapsed="false">
      <c r="A37" s="1" t="n">
        <v>35</v>
      </c>
      <c r="B37" s="0" t="n">
        <v>12747.1856267356</v>
      </c>
      <c r="C37" s="0" t="n">
        <v>3.16004589350539</v>
      </c>
      <c r="D37" s="0" t="n">
        <v>48750.881025835</v>
      </c>
      <c r="E37" s="0" t="n">
        <v>2.952880859375</v>
      </c>
      <c r="F37" s="0" t="n">
        <v>84755.9147579313</v>
      </c>
      <c r="G37" s="0" t="n">
        <v>3.15821483881798</v>
      </c>
      <c r="H37" s="0" t="n">
        <v>120759.296065031</v>
      </c>
      <c r="I37" s="0" t="n">
        <v>2.95565210207553</v>
      </c>
      <c r="J37" s="0" t="n">
        <v>156764.675784127</v>
      </c>
      <c r="K37" s="0" t="n">
        <v>3.16225610598161</v>
      </c>
      <c r="L37" s="0" t="n">
        <v>192768.067092227</v>
      </c>
      <c r="M37" s="0" t="n">
        <v>2.95623779296875</v>
      </c>
      <c r="N37" s="0" t="n">
        <v>228773.465818322</v>
      </c>
      <c r="O37" s="0" t="n">
        <v>3.16495336667464</v>
      </c>
      <c r="P37" s="0" t="n">
        <v>264776.893127422</v>
      </c>
      <c r="Q37" s="0" t="n">
        <v>2.9571533203125</v>
      </c>
      <c r="R37" s="0" t="n">
        <v>300782.478856517</v>
      </c>
      <c r="S37" s="0" t="n">
        <v>3.16495336667465</v>
      </c>
      <c r="T37" s="0" t="n">
        <v>336785.938165617</v>
      </c>
      <c r="U37" s="0" t="n">
        <v>2.95623779296875</v>
      </c>
      <c r="W37" s="0" t="n">
        <f aca="false">(1*B37)/3600</f>
        <v>3.54088489631544</v>
      </c>
      <c r="X37" s="0" t="n">
        <f aca="false">(W37/$W$101)*100</f>
        <v>35.3899090937841</v>
      </c>
      <c r="AG37" s="0" t="n">
        <f aca="false">$W$100-1*(D37-$D$2)/3600</f>
        <v>6.36908915404586</v>
      </c>
      <c r="AH37" s="0" t="n">
        <f aca="false">100-X37</f>
        <v>64.6100909062159</v>
      </c>
    </row>
    <row r="38" customFormat="false" ht="12.8" hidden="false" customHeight="false" outlineLevel="0" collapsed="false">
      <c r="A38" s="1" t="n">
        <v>36</v>
      </c>
      <c r="B38" s="0" t="n">
        <v>13110.8118884438</v>
      </c>
      <c r="C38" s="0" t="n">
        <v>3.1596513227983</v>
      </c>
      <c r="D38" s="0" t="n">
        <v>49114.5072875432</v>
      </c>
      <c r="E38" s="0" t="n">
        <v>2.9522705078125</v>
      </c>
      <c r="F38" s="0" t="n">
        <v>85119.5410196395</v>
      </c>
      <c r="G38" s="0" t="n">
        <v>3.1584028764204</v>
      </c>
      <c r="H38" s="0" t="n">
        <v>121122.922326739</v>
      </c>
      <c r="I38" s="0" t="n">
        <v>2.95501708984375</v>
      </c>
      <c r="J38" s="0" t="n">
        <v>157128.302045835</v>
      </c>
      <c r="K38" s="0" t="n">
        <v>3.16256436434664</v>
      </c>
      <c r="L38" s="0" t="n">
        <v>193131.693353935</v>
      </c>
      <c r="M38" s="0" t="n">
        <v>2.95562744140625</v>
      </c>
      <c r="N38" s="0" t="n">
        <v>229137.09208003</v>
      </c>
      <c r="O38" s="0" t="n">
        <v>3.16497802734375</v>
      </c>
      <c r="P38" s="0" t="n">
        <v>265140.51938913</v>
      </c>
      <c r="Q38" s="0" t="n">
        <v>2.95654296875</v>
      </c>
      <c r="R38" s="0" t="n">
        <v>301146.105118225</v>
      </c>
      <c r="S38" s="0" t="n">
        <v>3.1646728515625</v>
      </c>
      <c r="T38" s="0" t="n">
        <v>337149.564427325</v>
      </c>
      <c r="U38" s="0" t="n">
        <v>2.95562744140625</v>
      </c>
      <c r="W38" s="0" t="n">
        <f aca="false">(1*B38)/3600</f>
        <v>3.64189219123439</v>
      </c>
      <c r="X38" s="0" t="n">
        <f aca="false">(W38/$W$101)*100</f>
        <v>36.3994417641937</v>
      </c>
      <c r="AG38" s="0" t="n">
        <f aca="false">$W$100-1*(D38-$D$2)/3600</f>
        <v>6.26808185912692</v>
      </c>
      <c r="AH38" s="0" t="n">
        <f aca="false">100-X38</f>
        <v>63.6005582358063</v>
      </c>
    </row>
    <row r="39" customFormat="false" ht="12.8" hidden="false" customHeight="false" outlineLevel="0" collapsed="false">
      <c r="A39" s="1" t="n">
        <v>37</v>
      </c>
      <c r="B39" s="0" t="n">
        <v>13474.438150152</v>
      </c>
      <c r="C39" s="0" t="n">
        <v>3.16060075856216</v>
      </c>
      <c r="D39" s="0" t="n">
        <v>49478.1335492514</v>
      </c>
      <c r="E39" s="0" t="n">
        <v>2.95135498046875</v>
      </c>
      <c r="F39" s="0" t="n">
        <v>85483.1672813477</v>
      </c>
      <c r="G39" s="0" t="n">
        <v>3.15836896800042</v>
      </c>
      <c r="H39" s="0" t="n">
        <v>121486.548588447</v>
      </c>
      <c r="I39" s="0" t="n">
        <v>2.9541015625</v>
      </c>
      <c r="J39" s="0" t="n">
        <v>157491.928307543</v>
      </c>
      <c r="K39" s="0" t="n">
        <v>3.1632949366715</v>
      </c>
      <c r="L39" s="0" t="n">
        <v>193495.319615643</v>
      </c>
      <c r="M39" s="0" t="n">
        <v>2.9547119140625</v>
      </c>
      <c r="N39" s="0" t="n">
        <v>229500.718341738</v>
      </c>
      <c r="O39" s="0" t="n">
        <v>3.16442007970325</v>
      </c>
      <c r="P39" s="0" t="n">
        <v>265504.145650838</v>
      </c>
      <c r="Q39" s="0" t="n">
        <v>2.9559326171875</v>
      </c>
      <c r="R39" s="0" t="n">
        <v>301509.731379933</v>
      </c>
      <c r="S39" s="0" t="n">
        <v>3.16523079920275</v>
      </c>
      <c r="T39" s="0" t="n">
        <v>337513.190689033</v>
      </c>
      <c r="U39" s="0" t="n">
        <v>2.9549646859215</v>
      </c>
      <c r="W39" s="0" t="n">
        <f aca="false">(1*B39)/3600</f>
        <v>3.74289948615333</v>
      </c>
      <c r="X39" s="0" t="n">
        <f aca="false">(W39/$W$101)*100</f>
        <v>37.4089744346033</v>
      </c>
      <c r="AG39" s="0" t="n">
        <f aca="false">$W$100-1*(D39-$D$2)/3600</f>
        <v>6.16707456420798</v>
      </c>
      <c r="AH39" s="0" t="n">
        <f aca="false">100-X39</f>
        <v>62.5910255653967</v>
      </c>
    </row>
    <row r="40" customFormat="false" ht="12.8" hidden="false" customHeight="false" outlineLevel="0" collapsed="false">
      <c r="A40" s="1" t="n">
        <v>38</v>
      </c>
      <c r="B40" s="0" t="n">
        <v>13838.0644118602</v>
      </c>
      <c r="C40" s="0" t="n">
        <v>3.16070556640625</v>
      </c>
      <c r="D40" s="0" t="n">
        <v>49841.7598109596</v>
      </c>
      <c r="E40" s="0" t="n">
        <v>2.95074462890625</v>
      </c>
      <c r="F40" s="0" t="n">
        <v>85846.7935430559</v>
      </c>
      <c r="G40" s="0" t="n">
        <v>3.1585693359375</v>
      </c>
      <c r="H40" s="0" t="n">
        <v>121850.174850156</v>
      </c>
      <c r="I40" s="0" t="n">
        <v>2.9534912109375</v>
      </c>
      <c r="J40" s="0" t="n">
        <v>157855.554569251</v>
      </c>
      <c r="K40" s="0" t="n">
        <v>3.16302366931023</v>
      </c>
      <c r="L40" s="0" t="n">
        <v>193858.945877351</v>
      </c>
      <c r="M40" s="0" t="n">
        <v>2.9541015625</v>
      </c>
      <c r="N40" s="0" t="n">
        <v>229864.344603446</v>
      </c>
      <c r="O40" s="0" t="n">
        <v>3.16461119988949</v>
      </c>
      <c r="P40" s="0" t="n">
        <v>265867.771912546</v>
      </c>
      <c r="Q40" s="0" t="n">
        <v>2.95501708984375</v>
      </c>
      <c r="R40" s="0" t="n">
        <v>301873.357641641</v>
      </c>
      <c r="S40" s="0" t="n">
        <v>3.16485780658153</v>
      </c>
      <c r="T40" s="0" t="n">
        <v>337876.816950741</v>
      </c>
      <c r="U40" s="0" t="n">
        <v>2.9541015625</v>
      </c>
      <c r="W40" s="0" t="n">
        <f aca="false">(1*B40)/3600</f>
        <v>3.84390678107228</v>
      </c>
      <c r="X40" s="0" t="n">
        <f aca="false">(W40/$W$101)*100</f>
        <v>38.418507105013</v>
      </c>
      <c r="AG40" s="0" t="n">
        <f aca="false">$W$100-1*(D40-$D$2)/3600</f>
        <v>6.06606726928903</v>
      </c>
      <c r="AH40" s="0" t="n">
        <f aca="false">100-X40</f>
        <v>61.581492894987</v>
      </c>
    </row>
    <row r="41" customFormat="false" ht="12.8" hidden="false" customHeight="false" outlineLevel="0" collapsed="false">
      <c r="A41" s="1" t="n">
        <v>39</v>
      </c>
      <c r="B41" s="0" t="n">
        <v>14201.6906735684</v>
      </c>
      <c r="C41" s="0" t="n">
        <v>3.16075180516096</v>
      </c>
      <c r="D41" s="0" t="n">
        <v>50205.3860726678</v>
      </c>
      <c r="E41" s="0" t="n">
        <v>2.95013427734375</v>
      </c>
      <c r="F41" s="0" t="n">
        <v>86210.4198047641</v>
      </c>
      <c r="G41" s="0" t="n">
        <v>3.15892075047337</v>
      </c>
      <c r="H41" s="0" t="n">
        <v>122213.801111864</v>
      </c>
      <c r="I41" s="0" t="n">
        <v>2.95257568359375</v>
      </c>
      <c r="J41" s="0" t="n">
        <v>158219.18083096</v>
      </c>
      <c r="K41" s="0" t="n">
        <v>3.16362785570546</v>
      </c>
      <c r="L41" s="0" t="n">
        <v>194222.572139059</v>
      </c>
      <c r="M41" s="0" t="n">
        <v>2.95318603515625</v>
      </c>
      <c r="N41" s="0" t="n">
        <v>230227.970865155</v>
      </c>
      <c r="O41" s="0" t="n">
        <v>3.16462661280783</v>
      </c>
      <c r="P41" s="0" t="n">
        <v>266231.398174254</v>
      </c>
      <c r="Q41" s="0" t="n">
        <v>2.9541015625</v>
      </c>
      <c r="R41" s="0" t="n">
        <v>302236.98390335</v>
      </c>
      <c r="S41" s="0" t="n">
        <v>3.16541267163841</v>
      </c>
      <c r="T41" s="0" t="n">
        <v>338240.44321245</v>
      </c>
      <c r="U41" s="0" t="n">
        <v>2.9534912109375</v>
      </c>
      <c r="W41" s="0" t="n">
        <f aca="false">(1*B41)/3600</f>
        <v>3.94491407599122</v>
      </c>
      <c r="X41" s="0" t="n">
        <f aca="false">(W41/$W$101)*100</f>
        <v>39.4280397754226</v>
      </c>
      <c r="AG41" s="0" t="n">
        <f aca="false">$W$100-1*(D41-$D$2)/3600</f>
        <v>5.96505997437008</v>
      </c>
      <c r="AH41" s="0" t="n">
        <f aca="false">100-X41</f>
        <v>60.5719602245774</v>
      </c>
    </row>
    <row r="42" customFormat="false" ht="12.8" hidden="false" customHeight="false" outlineLevel="0" collapsed="false">
      <c r="A42" s="1" t="n">
        <v>40</v>
      </c>
      <c r="B42" s="0" t="n">
        <v>14565.3169352766</v>
      </c>
      <c r="C42" s="0" t="n">
        <v>3.16133133088701</v>
      </c>
      <c r="D42" s="0" t="n">
        <v>50569.012334376</v>
      </c>
      <c r="E42" s="0" t="n">
        <v>2.94952392578125</v>
      </c>
      <c r="F42" s="0" t="n">
        <v>86574.0460664723</v>
      </c>
      <c r="G42" s="0" t="n">
        <v>3.16004897608884</v>
      </c>
      <c r="H42" s="0" t="n">
        <v>122577.427373572</v>
      </c>
      <c r="I42" s="0" t="n">
        <v>2.95196533203125</v>
      </c>
      <c r="J42" s="0" t="n">
        <v>158582.807092668</v>
      </c>
      <c r="K42" s="0" t="n">
        <v>3.16403167416335</v>
      </c>
      <c r="L42" s="0" t="n">
        <v>194586.198400768</v>
      </c>
      <c r="M42" s="0" t="n">
        <v>2.9522705078125</v>
      </c>
      <c r="N42" s="0" t="n">
        <v>230591.597126863</v>
      </c>
      <c r="O42" s="0" t="n">
        <v>3.16468826448082</v>
      </c>
      <c r="P42" s="0" t="n">
        <v>266595.024435963</v>
      </c>
      <c r="Q42" s="0" t="n">
        <v>2.9534912109375</v>
      </c>
      <c r="R42" s="0" t="n">
        <v>302600.610165058</v>
      </c>
      <c r="S42" s="0" t="n">
        <v>3.16471909031749</v>
      </c>
      <c r="T42" s="0" t="n">
        <v>338604.069474158</v>
      </c>
      <c r="U42" s="0" t="n">
        <v>2.95257568359375</v>
      </c>
      <c r="W42" s="0" t="n">
        <f aca="false">(1*B42)/3600</f>
        <v>4.04592137091017</v>
      </c>
      <c r="X42" s="0" t="n">
        <f aca="false">(W42/$W$101)*100</f>
        <v>40.4375724458322</v>
      </c>
      <c r="AG42" s="0" t="n">
        <f aca="false">$W$100-1*(D42-$D$2)/3600</f>
        <v>5.86405267945114</v>
      </c>
      <c r="AH42" s="0" t="n">
        <f aca="false">100-X42</f>
        <v>59.5624275541678</v>
      </c>
    </row>
    <row r="43" customFormat="false" ht="12.8" hidden="false" customHeight="false" outlineLevel="0" collapsed="false">
      <c r="A43" s="1" t="n">
        <v>41</v>
      </c>
      <c r="B43" s="0" t="n">
        <v>14928.9431969848</v>
      </c>
      <c r="C43" s="0" t="n">
        <v>3.16202491220801</v>
      </c>
      <c r="D43" s="0" t="n">
        <v>50932.6385960842</v>
      </c>
      <c r="E43" s="0" t="n">
        <v>2.9486083984375</v>
      </c>
      <c r="F43" s="0" t="n">
        <v>86937.6723281805</v>
      </c>
      <c r="G43" s="0" t="n">
        <v>3.15937697285343</v>
      </c>
      <c r="H43" s="0" t="n">
        <v>122941.05363528</v>
      </c>
      <c r="I43" s="0" t="n">
        <v>2.9510498046875</v>
      </c>
      <c r="J43" s="0" t="n">
        <v>158946.433354376</v>
      </c>
      <c r="K43" s="0" t="n">
        <v>3.16365868154202</v>
      </c>
      <c r="L43" s="0" t="n">
        <v>194949.824662476</v>
      </c>
      <c r="M43" s="0" t="n">
        <v>2.95166015625</v>
      </c>
      <c r="N43" s="0" t="n">
        <v>230955.223388571</v>
      </c>
      <c r="O43" s="0" t="n">
        <v>3.16568702158298</v>
      </c>
      <c r="P43" s="0" t="n">
        <v>266958.650697671</v>
      </c>
      <c r="Q43" s="0" t="n">
        <v>2.95257568359375</v>
      </c>
      <c r="R43" s="0" t="n">
        <v>302964.236426766</v>
      </c>
      <c r="S43" s="0" t="n">
        <v>3.1660014451153</v>
      </c>
      <c r="T43" s="0" t="n">
        <v>338967.695735866</v>
      </c>
      <c r="U43" s="0" t="n">
        <v>2.95196533203125</v>
      </c>
      <c r="W43" s="0" t="n">
        <f aca="false">(1*B43)/3600</f>
        <v>4.14692866582911</v>
      </c>
      <c r="X43" s="0" t="n">
        <f aca="false">(W43/$W$101)*100</f>
        <v>41.4471051162419</v>
      </c>
      <c r="AG43" s="0" t="n">
        <f aca="false">$W$100-1*(D43-$D$2)/3600</f>
        <v>5.7630453845322</v>
      </c>
      <c r="AH43" s="0" t="n">
        <f aca="false">100-X43</f>
        <v>58.5528948837581</v>
      </c>
    </row>
    <row r="44" customFormat="false" ht="12.8" hidden="false" customHeight="false" outlineLevel="0" collapsed="false">
      <c r="A44" s="1" t="n">
        <v>42</v>
      </c>
      <c r="B44" s="0" t="n">
        <v>15292.569458693</v>
      </c>
      <c r="C44" s="0" t="n">
        <v>3.16262909860323</v>
      </c>
      <c r="D44" s="0" t="n">
        <v>51296.2648577924</v>
      </c>
      <c r="E44" s="0" t="n">
        <v>2.947998046875</v>
      </c>
      <c r="F44" s="0" t="n">
        <v>87301.2985898887</v>
      </c>
      <c r="G44" s="0" t="n">
        <v>3.16079804391578</v>
      </c>
      <c r="H44" s="0" t="n">
        <v>123304.679896988</v>
      </c>
      <c r="I44" s="0" t="n">
        <v>2.95013427734375</v>
      </c>
      <c r="J44" s="0" t="n">
        <v>159310.059616084</v>
      </c>
      <c r="K44" s="0" t="n">
        <v>3.16412723425658</v>
      </c>
      <c r="L44" s="0" t="n">
        <v>195313.450924184</v>
      </c>
      <c r="M44" s="0" t="n">
        <v>2.95074462890625</v>
      </c>
      <c r="N44" s="0" t="n">
        <v>231318.849650279</v>
      </c>
      <c r="O44" s="0" t="n">
        <v>3.16537568063446</v>
      </c>
      <c r="P44" s="0" t="n">
        <v>267322.276959379</v>
      </c>
      <c r="Q44" s="0" t="n">
        <v>2.95196533203125</v>
      </c>
      <c r="R44" s="0" t="n">
        <v>303327.862688474</v>
      </c>
      <c r="S44" s="0" t="n">
        <v>3.16619873046875</v>
      </c>
      <c r="T44" s="0" t="n">
        <v>339331.321997574</v>
      </c>
      <c r="U44" s="0" t="n">
        <v>2.9510498046875</v>
      </c>
      <c r="W44" s="0" t="n">
        <f aca="false">(1*B44)/3600</f>
        <v>4.24793596074806</v>
      </c>
      <c r="X44" s="0" t="n">
        <f aca="false">(W44/$W$101)*100</f>
        <v>42.4566377866515</v>
      </c>
      <c r="AG44" s="0" t="n">
        <f aca="false">$W$100-1*(D44-$D$2)/3600</f>
        <v>5.66203808961325</v>
      </c>
      <c r="AH44" s="0" t="n">
        <f aca="false">100-X44</f>
        <v>57.5433622133485</v>
      </c>
    </row>
    <row r="45" customFormat="false" ht="12.8" hidden="false" customHeight="false" outlineLevel="0" collapsed="false">
      <c r="A45" s="1" t="n">
        <v>43</v>
      </c>
      <c r="B45" s="0" t="n">
        <v>15656.1957204012</v>
      </c>
      <c r="C45" s="0" t="n">
        <v>3.16286337496054</v>
      </c>
      <c r="D45" s="0" t="n">
        <v>51659.8911195006</v>
      </c>
      <c r="E45" s="0" t="n">
        <v>2.9473876953125</v>
      </c>
      <c r="F45" s="0" t="n">
        <v>87664.9248515969</v>
      </c>
      <c r="G45" s="0" t="n">
        <v>3.16072714449173</v>
      </c>
      <c r="H45" s="0" t="n">
        <v>123668.306158697</v>
      </c>
      <c r="I45" s="0" t="n">
        <v>2.94952392578125</v>
      </c>
      <c r="J45" s="0" t="n">
        <v>159673.685877792</v>
      </c>
      <c r="K45" s="0" t="n">
        <v>3.16441083195245</v>
      </c>
      <c r="L45" s="0" t="n">
        <v>195677.077185892</v>
      </c>
      <c r="M45" s="0" t="n">
        <v>2.9498291015625</v>
      </c>
      <c r="N45" s="0" t="n">
        <v>231682.475911987</v>
      </c>
      <c r="O45" s="0" t="n">
        <v>3.1658719766019</v>
      </c>
      <c r="P45" s="0" t="n">
        <v>267685.903221087</v>
      </c>
      <c r="Q45" s="0" t="n">
        <v>2.9510498046875</v>
      </c>
      <c r="R45" s="0" t="n">
        <v>303691.488950182</v>
      </c>
      <c r="S45" s="0" t="n">
        <v>3.16648232816442</v>
      </c>
      <c r="T45" s="0" t="n">
        <v>339694.948259282</v>
      </c>
      <c r="U45" s="0" t="n">
        <v>2.95013427734375</v>
      </c>
      <c r="W45" s="0" t="n">
        <f aca="false">(1*B45)/3600</f>
        <v>4.348943255667</v>
      </c>
      <c r="X45" s="0" t="n">
        <f aca="false">(W45/$W$101)*100</f>
        <v>43.4661704570612</v>
      </c>
      <c r="AG45" s="0" t="n">
        <f aca="false">$W$100-1*(D45-$D$2)/3600</f>
        <v>5.56103079469431</v>
      </c>
      <c r="AH45" s="0" t="n">
        <f aca="false">100-X45</f>
        <v>56.5338295429388</v>
      </c>
    </row>
    <row r="46" customFormat="false" ht="12.8" hidden="false" customHeight="false" outlineLevel="0" collapsed="false">
      <c r="A46" s="1" t="n">
        <v>44</v>
      </c>
      <c r="B46" s="0" t="n">
        <v>16019.8219821094</v>
      </c>
      <c r="C46" s="0" t="n">
        <v>3.16331651475695</v>
      </c>
      <c r="D46" s="0" t="n">
        <v>52023.5173812088</v>
      </c>
      <c r="E46" s="0" t="n">
        <v>2.94647216796875</v>
      </c>
      <c r="F46" s="0" t="n">
        <v>88028.5511133051</v>
      </c>
      <c r="G46" s="0" t="n">
        <v>3.16128200954846</v>
      </c>
      <c r="H46" s="0" t="n">
        <v>124031.932420405</v>
      </c>
      <c r="I46" s="0" t="n">
        <v>2.9486083984375</v>
      </c>
      <c r="J46" s="0" t="n">
        <v>160037.3121395</v>
      </c>
      <c r="K46" s="0" t="n">
        <v>3.16457112630207</v>
      </c>
      <c r="L46" s="0" t="n">
        <v>196040.7034476</v>
      </c>
      <c r="M46" s="0" t="n">
        <v>2.94891357421875</v>
      </c>
      <c r="N46" s="0" t="n">
        <v>232046.102173695</v>
      </c>
      <c r="O46" s="0" t="n">
        <v>3.16602918836806</v>
      </c>
      <c r="P46" s="0" t="n">
        <v>268049.529482795</v>
      </c>
      <c r="Q46" s="0" t="n">
        <v>2.95013427734375</v>
      </c>
      <c r="R46" s="0" t="n">
        <v>304055.11521189</v>
      </c>
      <c r="S46" s="0" t="n">
        <v>3.16636827256961</v>
      </c>
      <c r="T46" s="0" t="n">
        <v>340058.57452099</v>
      </c>
      <c r="U46" s="0" t="n">
        <v>2.94921875</v>
      </c>
      <c r="W46" s="0" t="n">
        <f aca="false">(1*B46)/3600</f>
        <v>4.44995055058594</v>
      </c>
      <c r="X46" s="0" t="n">
        <f aca="false">(W46/$W$101)*100</f>
        <v>44.4757031274708</v>
      </c>
      <c r="AG46" s="0" t="n">
        <f aca="false">$W$100-1*(D46-$D$2)/3600</f>
        <v>5.46002349977536</v>
      </c>
      <c r="AH46" s="0" t="n">
        <f aca="false">100-X46</f>
        <v>55.5242968725292</v>
      </c>
    </row>
    <row r="47" customFormat="false" ht="12.8" hidden="false" customHeight="false" outlineLevel="0" collapsed="false">
      <c r="A47" s="1" t="n">
        <v>45</v>
      </c>
      <c r="B47" s="0" t="n">
        <v>16383.4482438176</v>
      </c>
      <c r="C47" s="0" t="n">
        <v>3.1640625</v>
      </c>
      <c r="D47" s="0" t="n">
        <v>52387.143642917</v>
      </c>
      <c r="E47" s="0" t="n">
        <v>2.94586181640625</v>
      </c>
      <c r="F47" s="0" t="n">
        <v>88392.1773750133</v>
      </c>
      <c r="G47" s="0" t="n">
        <v>3.1613714044745</v>
      </c>
      <c r="H47" s="0" t="n">
        <v>124395.558682113</v>
      </c>
      <c r="I47" s="0" t="n">
        <v>2.94769287109375</v>
      </c>
      <c r="J47" s="0" t="n">
        <v>160400.938401209</v>
      </c>
      <c r="K47" s="0" t="n">
        <v>3.16522771661926</v>
      </c>
      <c r="L47" s="0" t="n">
        <v>196404.329709309</v>
      </c>
      <c r="M47" s="0" t="n">
        <v>2.947998046875</v>
      </c>
      <c r="N47" s="0" t="n">
        <v>232409.728435404</v>
      </c>
      <c r="O47" s="0" t="n">
        <v>3.16619873046875</v>
      </c>
      <c r="P47" s="0" t="n">
        <v>268413.155744504</v>
      </c>
      <c r="Q47" s="0" t="n">
        <v>2.94921875</v>
      </c>
      <c r="R47" s="0" t="n">
        <v>304418.741473599</v>
      </c>
      <c r="S47" s="0" t="n">
        <v>3.1665593927558</v>
      </c>
      <c r="T47" s="0" t="n">
        <v>340422.200782699</v>
      </c>
      <c r="U47" s="0" t="n">
        <v>2.9486083984375</v>
      </c>
      <c r="W47" s="0" t="n">
        <f aca="false">(1*B47)/3600</f>
        <v>4.55095784550489</v>
      </c>
      <c r="X47" s="0" t="n">
        <f aca="false">(W47/$W$101)*100</f>
        <v>45.4852357978804</v>
      </c>
      <c r="AG47" s="0" t="n">
        <f aca="false">$W$100-1*(D47-$D$2)/3600</f>
        <v>5.35901620485642</v>
      </c>
      <c r="AH47" s="0" t="n">
        <f aca="false">100-X47</f>
        <v>54.5147642021196</v>
      </c>
    </row>
    <row r="48" customFormat="false" ht="12.8" hidden="false" customHeight="false" outlineLevel="0" collapsed="false">
      <c r="A48" s="1" t="n">
        <v>46</v>
      </c>
      <c r="B48" s="0" t="n">
        <v>16747.0745055258</v>
      </c>
      <c r="C48" s="0" t="n">
        <v>3.1646728515625</v>
      </c>
      <c r="D48" s="0" t="n">
        <v>52750.7699046252</v>
      </c>
      <c r="E48" s="0" t="n">
        <v>2.94525146484375</v>
      </c>
      <c r="F48" s="0" t="n">
        <v>88755.8036367215</v>
      </c>
      <c r="G48" s="0" t="n">
        <v>3.16241948291521</v>
      </c>
      <c r="H48" s="0" t="n">
        <v>124759.184943821</v>
      </c>
      <c r="I48" s="0" t="n">
        <v>2.94677734375</v>
      </c>
      <c r="J48" s="0" t="n">
        <v>160764.564662917</v>
      </c>
      <c r="K48" s="0" t="n">
        <v>3.16522463403572</v>
      </c>
      <c r="L48" s="0" t="n">
        <v>196767.955971017</v>
      </c>
      <c r="M48" s="0" t="n">
        <v>2.94708251953125</v>
      </c>
      <c r="N48" s="0" t="n">
        <v>232773.354697112</v>
      </c>
      <c r="O48" s="0" t="n">
        <v>3.16675051294197</v>
      </c>
      <c r="P48" s="0" t="n">
        <v>268776.782006212</v>
      </c>
      <c r="Q48" s="0" t="n">
        <v>2.94830322265625</v>
      </c>
      <c r="R48" s="0" t="n">
        <v>304782.367735307</v>
      </c>
      <c r="S48" s="0" t="n">
        <v>3.16680908203125</v>
      </c>
      <c r="T48" s="0" t="n">
        <v>340785.827044407</v>
      </c>
      <c r="U48" s="0" t="n">
        <v>2.94769287109375</v>
      </c>
      <c r="W48" s="0" t="n">
        <f aca="false">(1*B48)/3600</f>
        <v>4.65196514042383</v>
      </c>
      <c r="X48" s="0" t="n">
        <f aca="false">(W48/$W$101)*100</f>
        <v>46.4947684682901</v>
      </c>
      <c r="AG48" s="0" t="n">
        <f aca="false">$W$100-1*(D48-$D$2)/3600</f>
        <v>5.25800890993747</v>
      </c>
      <c r="AH48" s="0" t="n">
        <f aca="false">100-X48</f>
        <v>53.5052315317099</v>
      </c>
    </row>
    <row r="49" customFormat="false" ht="12.8" hidden="false" customHeight="false" outlineLevel="0" collapsed="false">
      <c r="A49" s="1" t="n">
        <v>47</v>
      </c>
      <c r="B49" s="0" t="n">
        <v>17110.700767234</v>
      </c>
      <c r="C49" s="0" t="n">
        <v>3.16484547624684</v>
      </c>
      <c r="D49" s="0" t="n">
        <v>53114.3961663334</v>
      </c>
      <c r="E49" s="0" t="n">
        <v>2.9443359375</v>
      </c>
      <c r="F49" s="0" t="n">
        <v>89119.4298984297</v>
      </c>
      <c r="G49" s="0" t="n">
        <v>3.16288187046229</v>
      </c>
      <c r="H49" s="0" t="n">
        <v>125122.811205529</v>
      </c>
      <c r="I49" s="0" t="n">
        <v>2.94586181640625</v>
      </c>
      <c r="J49" s="0" t="n">
        <v>161128.190924625</v>
      </c>
      <c r="K49" s="0" t="n">
        <v>3.16545582780934</v>
      </c>
      <c r="L49" s="0" t="n">
        <v>197131.582232725</v>
      </c>
      <c r="M49" s="0" t="n">
        <v>2.9461669921875</v>
      </c>
      <c r="N49" s="0" t="n">
        <v>233136.98095882</v>
      </c>
      <c r="O49" s="0" t="n">
        <v>3.16707418422506</v>
      </c>
      <c r="P49" s="0" t="n">
        <v>269140.40826792</v>
      </c>
      <c r="Q49" s="0" t="n">
        <v>2.9473876953125</v>
      </c>
      <c r="R49" s="0" t="n">
        <v>305145.993997015</v>
      </c>
      <c r="S49" s="0" t="n">
        <v>3.16785716047189</v>
      </c>
      <c r="T49" s="0" t="n">
        <v>341149.453306115</v>
      </c>
      <c r="U49" s="0" t="n">
        <v>2.94677734375</v>
      </c>
      <c r="W49" s="0" t="n">
        <f aca="false">(1*B49)/3600</f>
        <v>4.75297243534278</v>
      </c>
      <c r="X49" s="0" t="n">
        <f aca="false">(W49/$W$101)*100</f>
        <v>47.5043011386997</v>
      </c>
      <c r="AG49" s="0" t="n">
        <f aca="false">$W$100-1*(D49-$D$2)/3600</f>
        <v>5.15700161501853</v>
      </c>
      <c r="AH49" s="0" t="n">
        <f aca="false">100-X49</f>
        <v>52.4956988613003</v>
      </c>
    </row>
    <row r="50" customFormat="false" ht="12.8" hidden="false" customHeight="false" outlineLevel="0" collapsed="false">
      <c r="A50" s="1" t="n">
        <v>48</v>
      </c>
      <c r="B50" s="0" t="n">
        <v>17474.3270289422</v>
      </c>
      <c r="C50" s="0" t="n">
        <v>3.16503351384945</v>
      </c>
      <c r="D50" s="0" t="n">
        <v>53478.0224280416</v>
      </c>
      <c r="E50" s="0" t="n">
        <v>2.9437255859375</v>
      </c>
      <c r="F50" s="0" t="n">
        <v>89483.0561601379</v>
      </c>
      <c r="G50" s="0" t="n">
        <v>3.16289728338087</v>
      </c>
      <c r="H50" s="0" t="n">
        <v>125486.437467238</v>
      </c>
      <c r="I50" s="0" t="n">
        <v>2.9449462890625</v>
      </c>
      <c r="J50" s="0" t="n">
        <v>161491.817186333</v>
      </c>
      <c r="K50" s="0" t="n">
        <v>3.1661617394651</v>
      </c>
      <c r="L50" s="0" t="n">
        <v>197495.208494433</v>
      </c>
      <c r="M50" s="0" t="n">
        <v>2.94525146484375</v>
      </c>
      <c r="N50" s="0" t="n">
        <v>233500.607220528</v>
      </c>
      <c r="O50" s="0" t="n">
        <v>3.16707726680885</v>
      </c>
      <c r="P50" s="0" t="n">
        <v>269504.034529628</v>
      </c>
      <c r="Q50" s="0" t="n">
        <v>2.94647216796875</v>
      </c>
      <c r="R50" s="0" t="n">
        <v>305509.620258723</v>
      </c>
      <c r="S50" s="0" t="n">
        <v>3.167724609375</v>
      </c>
      <c r="T50" s="0" t="n">
        <v>341513.079567823</v>
      </c>
      <c r="U50" s="0" t="n">
        <v>2.94586181640625</v>
      </c>
      <c r="W50" s="0" t="n">
        <f aca="false">(1*B50)/3600</f>
        <v>4.85397973026172</v>
      </c>
      <c r="X50" s="0" t="n">
        <f aca="false">(W50/$W$101)*100</f>
        <v>48.5138338091093</v>
      </c>
      <c r="AG50" s="0" t="n">
        <f aca="false">$W$100-1*(D50-$D$2)/3600</f>
        <v>5.05599432009959</v>
      </c>
      <c r="AH50" s="0" t="n">
        <f aca="false">100-X50</f>
        <v>51.4861661908907</v>
      </c>
    </row>
    <row r="51" customFormat="false" ht="12.8" hidden="false" customHeight="false" outlineLevel="0" collapsed="false">
      <c r="A51" s="1" t="n">
        <v>49</v>
      </c>
      <c r="B51" s="0" t="n">
        <v>17837.9532906504</v>
      </c>
      <c r="C51" s="0" t="n">
        <v>3.1658935546875</v>
      </c>
      <c r="D51" s="0" t="n">
        <v>53841.6486897498</v>
      </c>
      <c r="E51" s="0" t="n">
        <v>2.94281005859375</v>
      </c>
      <c r="F51" s="0" t="n">
        <v>89846.6824218461</v>
      </c>
      <c r="G51" s="0" t="n">
        <v>3.16396693990696</v>
      </c>
      <c r="H51" s="0" t="n">
        <v>125850.063728946</v>
      </c>
      <c r="I51" s="0" t="n">
        <v>2.94412632181184</v>
      </c>
      <c r="J51" s="0" t="n">
        <v>161855.443448041</v>
      </c>
      <c r="K51" s="0" t="n">
        <v>3.1663127860637</v>
      </c>
      <c r="L51" s="0" t="n">
        <v>197858.834756141</v>
      </c>
      <c r="M51" s="0" t="n">
        <v>2.9443359375</v>
      </c>
      <c r="N51" s="0" t="n">
        <v>233864.233482236</v>
      </c>
      <c r="O51" s="0" t="n">
        <v>3.16762904928185</v>
      </c>
      <c r="P51" s="0" t="n">
        <v>269867.660791336</v>
      </c>
      <c r="Q51" s="0" t="n">
        <v>2.945556640625</v>
      </c>
      <c r="R51" s="0" t="n">
        <v>305873.246520431</v>
      </c>
      <c r="S51" s="0" t="n">
        <v>3.16782016946793</v>
      </c>
      <c r="T51" s="0" t="n">
        <v>341876.705829531</v>
      </c>
      <c r="U51" s="0" t="n">
        <v>2.9449462890625</v>
      </c>
      <c r="W51" s="0" t="n">
        <f aca="false">(1*B51)/3600</f>
        <v>4.95498702518067</v>
      </c>
      <c r="X51" s="0" t="n">
        <f aca="false">(W51/$W$101)*100</f>
        <v>49.523366479519</v>
      </c>
      <c r="AG51" s="0" t="n">
        <f aca="false">$W$100-1*(D51-$D$2)/3600</f>
        <v>4.95498702518064</v>
      </c>
      <c r="AH51" s="0" t="n">
        <f aca="false">100-X51</f>
        <v>50.476633520481</v>
      </c>
    </row>
    <row r="52" customFormat="false" ht="12.8" hidden="false" customHeight="false" outlineLevel="0" collapsed="false">
      <c r="A52" s="1" t="n">
        <v>50</v>
      </c>
      <c r="B52" s="0" t="n">
        <v>18201.5795523586</v>
      </c>
      <c r="C52" s="0" t="n">
        <v>3.16713275331438</v>
      </c>
      <c r="D52" s="0" t="n">
        <v>54205.274951458</v>
      </c>
      <c r="E52" s="0" t="n">
        <v>2.94219970703125</v>
      </c>
      <c r="F52" s="0" t="n">
        <v>90210.3086835543</v>
      </c>
      <c r="G52" s="0" t="n">
        <v>3.16436767578125</v>
      </c>
      <c r="H52" s="0" t="n">
        <v>126213.689990654</v>
      </c>
      <c r="I52" s="0" t="n">
        <v>2.94321079446809</v>
      </c>
      <c r="J52" s="0" t="n">
        <v>162219.06970975</v>
      </c>
      <c r="K52" s="0" t="n">
        <v>3.16701869771926</v>
      </c>
      <c r="L52" s="0" t="n">
        <v>198222.46101785</v>
      </c>
      <c r="M52" s="0" t="n">
        <v>2.94342041015625</v>
      </c>
      <c r="N52" s="0" t="n">
        <v>234227.859743945</v>
      </c>
      <c r="O52" s="0" t="n">
        <v>3.1679342250631</v>
      </c>
      <c r="P52" s="0" t="n">
        <v>270231.287053045</v>
      </c>
      <c r="Q52" s="0" t="n">
        <v>2.94464111328125</v>
      </c>
      <c r="R52" s="0" t="n">
        <v>306236.87278214</v>
      </c>
      <c r="S52" s="0" t="n">
        <v>3.16823940084427</v>
      </c>
      <c r="T52" s="0" t="n">
        <v>342240.33209124</v>
      </c>
      <c r="U52" s="0" t="n">
        <v>2.94403076171875</v>
      </c>
      <c r="W52" s="0" t="n">
        <f aca="false">(1*B52)/3600</f>
        <v>5.05599432009961</v>
      </c>
      <c r="X52" s="0" t="n">
        <f aca="false">(W52/$W$101)*100</f>
        <v>50.5328991499286</v>
      </c>
      <c r="AG52" s="0" t="n">
        <f aca="false">$W$100-1*(D52-$D$2)/3600</f>
        <v>4.8539797302617</v>
      </c>
      <c r="AH52" s="0" t="n">
        <f aca="false">100-X52</f>
        <v>49.4671008500714</v>
      </c>
    </row>
    <row r="53" customFormat="false" ht="12.8" hidden="false" customHeight="false" outlineLevel="0" collapsed="false">
      <c r="A53" s="1" t="n">
        <v>51</v>
      </c>
      <c r="B53" s="0" t="n">
        <v>18565.2058140668</v>
      </c>
      <c r="C53" s="0" t="n">
        <v>3.16740093809186</v>
      </c>
      <c r="D53" s="0" t="n">
        <v>54568.9012131661</v>
      </c>
      <c r="E53" s="0" t="n">
        <v>2.94157085996686</v>
      </c>
      <c r="F53" s="0" t="n">
        <v>90573.9349452624</v>
      </c>
      <c r="G53" s="0" t="n">
        <v>3.16438617128305</v>
      </c>
      <c r="H53" s="0" t="n">
        <v>126577.316252362</v>
      </c>
      <c r="I53" s="0" t="n">
        <v>2.94219970703125</v>
      </c>
      <c r="J53" s="0" t="n">
        <v>162582.695971458</v>
      </c>
      <c r="K53" s="0" t="n">
        <v>3.16738244259008</v>
      </c>
      <c r="L53" s="0" t="n">
        <v>198586.087279558</v>
      </c>
      <c r="M53" s="0" t="n">
        <v>2.9425048828125</v>
      </c>
      <c r="N53" s="0" t="n">
        <v>234591.486005653</v>
      </c>
      <c r="O53" s="0" t="n">
        <v>3.16802978515625</v>
      </c>
      <c r="P53" s="0" t="n">
        <v>270594.913314753</v>
      </c>
      <c r="Q53" s="0" t="n">
        <v>2.9437255859375</v>
      </c>
      <c r="R53" s="0" t="n">
        <v>306600.499043848</v>
      </c>
      <c r="S53" s="0" t="n">
        <v>3.16888982599452</v>
      </c>
      <c r="T53" s="0" t="n">
        <v>342603.958352948</v>
      </c>
      <c r="U53" s="0" t="n">
        <v>2.94281005859375</v>
      </c>
      <c r="W53" s="0" t="n">
        <f aca="false">(1*B53)/3600</f>
        <v>5.15700161501856</v>
      </c>
      <c r="X53" s="0" t="n">
        <f aca="false">(W53/$W$101)*100</f>
        <v>51.5424318203383</v>
      </c>
      <c r="AG53" s="0" t="n">
        <f aca="false">$W$100-1*(D53-$D$2)/3600</f>
        <v>4.75297243534278</v>
      </c>
      <c r="AH53" s="0" t="n">
        <f aca="false">100-X53</f>
        <v>48.4575681796617</v>
      </c>
    </row>
    <row r="54" customFormat="false" ht="12.8" hidden="false" customHeight="false" outlineLevel="0" collapsed="false">
      <c r="A54" s="1" t="n">
        <v>52</v>
      </c>
      <c r="B54" s="0" t="n">
        <v>18928.832075775</v>
      </c>
      <c r="C54" s="0" t="n">
        <v>3.16768453578756</v>
      </c>
      <c r="D54" s="0" t="n">
        <v>54932.5274748743</v>
      </c>
      <c r="E54" s="0" t="n">
        <v>2.940673828125</v>
      </c>
      <c r="F54" s="0" t="n">
        <v>90937.5612069707</v>
      </c>
      <c r="G54" s="0" t="n">
        <v>3.1652431295374</v>
      </c>
      <c r="H54" s="0" t="n">
        <v>126940.942514071</v>
      </c>
      <c r="I54" s="0" t="n">
        <v>2.9412841796875</v>
      </c>
      <c r="J54" s="0" t="n">
        <v>162946.322233166</v>
      </c>
      <c r="K54" s="0" t="n">
        <v>3.16820240984059</v>
      </c>
      <c r="L54" s="0" t="n">
        <v>198949.713541266</v>
      </c>
      <c r="M54" s="0" t="n">
        <v>2.94158935546875</v>
      </c>
      <c r="N54" s="0" t="n">
        <v>234955.112267361</v>
      </c>
      <c r="O54" s="0" t="n">
        <v>3.16850758562184</v>
      </c>
      <c r="P54" s="0" t="n">
        <v>270958.539576461</v>
      </c>
      <c r="Q54" s="0" t="n">
        <v>2.94281005859375</v>
      </c>
      <c r="R54" s="0" t="n">
        <v>306964.125305556</v>
      </c>
      <c r="S54" s="0" t="n">
        <v>3.1692905618687</v>
      </c>
      <c r="T54" s="0" t="n">
        <v>342967.584614656</v>
      </c>
      <c r="U54" s="0" t="n">
        <v>2.94189453125</v>
      </c>
      <c r="W54" s="0" t="n">
        <f aca="false">(1*B54)/3600</f>
        <v>5.2580089099375</v>
      </c>
      <c r="X54" s="0" t="n">
        <f aca="false">(W54/$W$101)*100</f>
        <v>52.5519644907479</v>
      </c>
      <c r="AG54" s="0" t="n">
        <f aca="false">$W$100-1*(D54-$D$2)/3600</f>
        <v>4.65196514042383</v>
      </c>
      <c r="AH54" s="0" t="n">
        <f aca="false">100-X54</f>
        <v>47.4480355092521</v>
      </c>
    </row>
    <row r="55" customFormat="false" ht="12.8" hidden="false" customHeight="false" outlineLevel="0" collapsed="false">
      <c r="A55" s="1" t="n">
        <v>53</v>
      </c>
      <c r="B55" s="0" t="n">
        <v>19292.4583374832</v>
      </c>
      <c r="C55" s="0" t="n">
        <v>3.16882817432133</v>
      </c>
      <c r="D55" s="0" t="n">
        <v>55296.1537365825</v>
      </c>
      <c r="E55" s="0" t="n">
        <v>2.9400634765625</v>
      </c>
      <c r="F55" s="0" t="n">
        <v>91301.1874686789</v>
      </c>
      <c r="G55" s="0" t="n">
        <v>3.16583498559807</v>
      </c>
      <c r="H55" s="0" t="n">
        <v>127304.568775779</v>
      </c>
      <c r="I55" s="0" t="n">
        <v>2.94036865234375</v>
      </c>
      <c r="J55" s="0" t="n">
        <v>163309.948494874</v>
      </c>
      <c r="K55" s="0" t="n">
        <v>3.16858156762947</v>
      </c>
      <c r="L55" s="0" t="n">
        <v>199313.339802974</v>
      </c>
      <c r="M55" s="0" t="n">
        <v>2.94036865234375</v>
      </c>
      <c r="N55" s="0" t="n">
        <v>235318.738529069</v>
      </c>
      <c r="O55" s="0" t="n">
        <v>3.16887441307588</v>
      </c>
      <c r="P55" s="0" t="n">
        <v>271322.165838169</v>
      </c>
      <c r="Q55" s="0" t="n">
        <v>2.94189453125</v>
      </c>
      <c r="R55" s="0" t="n">
        <v>307327.751567264</v>
      </c>
      <c r="S55" s="0" t="n">
        <v>3.16980227075423</v>
      </c>
      <c r="T55" s="0" t="n">
        <v>343331.210876364</v>
      </c>
      <c r="U55" s="0" t="n">
        <v>2.94097900390625</v>
      </c>
      <c r="W55" s="0" t="n">
        <f aca="false">(1*B55)/3600</f>
        <v>5.35901620485644</v>
      </c>
      <c r="X55" s="0" t="n">
        <f aca="false">(W55/$W$101)*100</f>
        <v>53.5614971611575</v>
      </c>
      <c r="AG55" s="0" t="n">
        <f aca="false">$W$100-1*(D55-$D$2)/3600</f>
        <v>4.55095784550489</v>
      </c>
      <c r="AH55" s="0" t="n">
        <f aca="false">100-X55</f>
        <v>46.4385028388425</v>
      </c>
    </row>
    <row r="56" customFormat="false" ht="12.8" hidden="false" customHeight="false" outlineLevel="0" collapsed="false">
      <c r="A56" s="1" t="n">
        <v>54</v>
      </c>
      <c r="B56" s="0" t="n">
        <v>19656.0845991913</v>
      </c>
      <c r="C56" s="0" t="n">
        <v>3.16913951526989</v>
      </c>
      <c r="D56" s="0" t="n">
        <v>55659.7799982907</v>
      </c>
      <c r="E56" s="0" t="n">
        <v>2.93914794921875</v>
      </c>
      <c r="F56" s="0" t="n">
        <v>91664.8137303871</v>
      </c>
      <c r="G56" s="0" t="n">
        <v>3.16680908203125</v>
      </c>
      <c r="H56" s="0" t="n">
        <v>127668.195037487</v>
      </c>
      <c r="I56" s="0" t="n">
        <v>2.939453125</v>
      </c>
      <c r="J56" s="0" t="n">
        <v>163673.574756582</v>
      </c>
      <c r="K56" s="0" t="n">
        <v>3.16875110972974</v>
      </c>
      <c r="L56" s="0" t="n">
        <v>199676.966064682</v>
      </c>
      <c r="M56" s="0" t="n">
        <v>2.939453125</v>
      </c>
      <c r="N56" s="0" t="n">
        <v>235682.364790777</v>
      </c>
      <c r="O56" s="0" t="n">
        <v>3.1695556640625</v>
      </c>
      <c r="P56" s="0" t="n">
        <v>271685.792099877</v>
      </c>
      <c r="Q56" s="0" t="n">
        <v>2.940673828125</v>
      </c>
      <c r="R56" s="0" t="n">
        <v>307691.377828972</v>
      </c>
      <c r="S56" s="0" t="n">
        <v>3.17066539417651</v>
      </c>
      <c r="T56" s="0" t="n">
        <v>343694.837138072</v>
      </c>
      <c r="U56" s="0" t="n">
        <v>2.93975830078125</v>
      </c>
      <c r="W56" s="0" t="n">
        <f aca="false">(1*B56)/3600</f>
        <v>5.46002349977536</v>
      </c>
      <c r="X56" s="0" t="n">
        <f aca="false">(W56/$W$101)*100</f>
        <v>54.5710298315669</v>
      </c>
      <c r="AG56" s="0" t="n">
        <f aca="false">$W$100-1*(D56-$D$2)/3600</f>
        <v>4.44995055058595</v>
      </c>
      <c r="AH56" s="0" t="n">
        <f aca="false">100-X56</f>
        <v>45.4289701684331</v>
      </c>
    </row>
    <row r="57" customFormat="false" ht="12.8" hidden="false" customHeight="false" outlineLevel="0" collapsed="false">
      <c r="A57" s="1" t="n">
        <v>55</v>
      </c>
      <c r="B57" s="0" t="n">
        <v>20019.7108608995</v>
      </c>
      <c r="C57" s="0" t="n">
        <v>3.1695556640625</v>
      </c>
      <c r="D57" s="0" t="n">
        <v>56023.4062599989</v>
      </c>
      <c r="E57" s="0" t="n">
        <v>2.938232421875</v>
      </c>
      <c r="F57" s="0" t="n">
        <v>92028.4399920952</v>
      </c>
      <c r="G57" s="0" t="n">
        <v>3.16775851779495</v>
      </c>
      <c r="H57" s="0" t="n">
        <v>128031.821299195</v>
      </c>
      <c r="I57" s="0" t="n">
        <v>2.93853759765625</v>
      </c>
      <c r="J57" s="0" t="n">
        <v>164037.201018291</v>
      </c>
      <c r="K57" s="0" t="n">
        <v>3.1695556640625</v>
      </c>
      <c r="L57" s="0" t="n">
        <v>200040.592326391</v>
      </c>
      <c r="M57" s="0" t="n">
        <v>2.938232421875</v>
      </c>
      <c r="N57" s="0" t="n">
        <v>236045.991052486</v>
      </c>
      <c r="O57" s="0" t="n">
        <v>3.17064073350695</v>
      </c>
      <c r="P57" s="0" t="n">
        <v>272049.418361586</v>
      </c>
      <c r="Q57" s="0" t="n">
        <v>2.93975830078125</v>
      </c>
      <c r="R57" s="0" t="n">
        <v>308055.004090681</v>
      </c>
      <c r="S57" s="0" t="n">
        <v>3.17084418402721</v>
      </c>
      <c r="T57" s="0" t="n">
        <v>344058.463399781</v>
      </c>
      <c r="U57" s="0" t="n">
        <v>2.9388427734375</v>
      </c>
      <c r="W57" s="0" t="n">
        <f aca="false">(1*B57)/3600</f>
        <v>5.56103079469431</v>
      </c>
      <c r="X57" s="0" t="n">
        <f aca="false">(W57/$W$101)*100</f>
        <v>55.5805625019765</v>
      </c>
      <c r="AG57" s="0" t="n">
        <f aca="false">$W$100-1*(D57-$D$2)/3600</f>
        <v>4.348943255667</v>
      </c>
      <c r="AH57" s="0" t="n">
        <f aca="false">100-X57</f>
        <v>44.4194374980235</v>
      </c>
    </row>
    <row r="58" customFormat="false" ht="12.8" hidden="false" customHeight="false" outlineLevel="0" collapsed="false">
      <c r="A58" s="1" t="n">
        <v>56</v>
      </c>
      <c r="B58" s="0" t="n">
        <v>20383.3371226077</v>
      </c>
      <c r="C58" s="0" t="n">
        <v>3.170166015625</v>
      </c>
      <c r="D58" s="0" t="n">
        <v>56387.0325217071</v>
      </c>
      <c r="E58" s="0" t="n">
        <v>2.9376220703125</v>
      </c>
      <c r="F58" s="0" t="n">
        <v>92392.0662538034</v>
      </c>
      <c r="G58" s="0" t="n">
        <v>3.1677893436319</v>
      </c>
      <c r="H58" s="0" t="n">
        <v>128395.447560903</v>
      </c>
      <c r="I58" s="0" t="n">
        <v>2.9376220703125</v>
      </c>
      <c r="J58" s="0" t="n">
        <v>164400.827279999</v>
      </c>
      <c r="K58" s="0" t="n">
        <v>3.17049276949187</v>
      </c>
      <c r="L58" s="0" t="n">
        <v>200404.218588099</v>
      </c>
      <c r="M58" s="0" t="n">
        <v>2.93731689453125</v>
      </c>
      <c r="N58" s="0" t="n">
        <v>236409.617314194</v>
      </c>
      <c r="O58" s="0" t="n">
        <v>3.17103838679755</v>
      </c>
      <c r="P58" s="0" t="n">
        <v>272413.044623294</v>
      </c>
      <c r="Q58" s="0" t="n">
        <v>2.93853759765625</v>
      </c>
      <c r="R58" s="0" t="n">
        <v>308418.630352389</v>
      </c>
      <c r="S58" s="0" t="n">
        <v>3.17167031644564</v>
      </c>
      <c r="T58" s="0" t="n">
        <v>344422.089661489</v>
      </c>
      <c r="U58" s="0" t="n">
        <v>2.93792724609375</v>
      </c>
      <c r="W58" s="0" t="n">
        <f aca="false">(1*B58)/3600</f>
        <v>5.66203808961325</v>
      </c>
      <c r="X58" s="0" t="n">
        <f aca="false">(W58/$W$101)*100</f>
        <v>56.5900951723862</v>
      </c>
      <c r="AG58" s="0" t="n">
        <f aca="false">$W$100-1*(D58-$D$2)/3600</f>
        <v>4.24793596074806</v>
      </c>
      <c r="AH58" s="0" t="n">
        <f aca="false">100-X58</f>
        <v>43.4099048276138</v>
      </c>
    </row>
    <row r="59" customFormat="false" ht="12.8" hidden="false" customHeight="false" outlineLevel="0" collapsed="false">
      <c r="A59" s="1" t="n">
        <v>57</v>
      </c>
      <c r="B59" s="0" t="n">
        <v>20746.9633843159</v>
      </c>
      <c r="C59" s="0" t="n">
        <v>3.17065614642519</v>
      </c>
      <c r="D59" s="0" t="n">
        <v>56750.6587834153</v>
      </c>
      <c r="E59" s="0" t="n">
        <v>2.93670654296875</v>
      </c>
      <c r="F59" s="0" t="n">
        <v>92755.6925155117</v>
      </c>
      <c r="G59" s="0" t="n">
        <v>3.16885283499063</v>
      </c>
      <c r="H59" s="0" t="n">
        <v>128759.073822612</v>
      </c>
      <c r="I59" s="0" t="n">
        <v>2.93670654296875</v>
      </c>
      <c r="J59" s="0" t="n">
        <v>164764.453541707</v>
      </c>
      <c r="K59" s="0" t="n">
        <v>3.17141446200288</v>
      </c>
      <c r="L59" s="0" t="n">
        <v>200767.844849807</v>
      </c>
      <c r="M59" s="0" t="n">
        <v>2.93609619140625</v>
      </c>
      <c r="N59" s="0" t="n">
        <v>236773.243575902</v>
      </c>
      <c r="O59" s="0" t="n">
        <v>3.17181211529359</v>
      </c>
      <c r="P59" s="0" t="n">
        <v>272776.670885002</v>
      </c>
      <c r="Q59" s="0" t="n">
        <v>2.9376220703125</v>
      </c>
      <c r="R59" s="0" t="n">
        <v>308782.256614097</v>
      </c>
      <c r="S59" s="0" t="n">
        <v>3.17169189453125</v>
      </c>
      <c r="T59" s="0" t="n">
        <v>344785.715923197</v>
      </c>
      <c r="U59" s="0" t="n">
        <v>2.93670654296875</v>
      </c>
      <c r="W59" s="0" t="n">
        <f aca="false">(1*B59)/3600</f>
        <v>5.76304538453219</v>
      </c>
      <c r="X59" s="0" t="n">
        <f aca="false">(W59/$W$101)*100</f>
        <v>57.5996278427958</v>
      </c>
      <c r="AG59" s="0" t="n">
        <f aca="false">$W$100-1*(D59-$D$2)/3600</f>
        <v>4.14692866582911</v>
      </c>
      <c r="AH59" s="0" t="n">
        <f aca="false">100-X59</f>
        <v>42.4003721572042</v>
      </c>
    </row>
    <row r="60" customFormat="false" ht="12.8" hidden="false" customHeight="false" outlineLevel="0" collapsed="false">
      <c r="A60" s="1" t="n">
        <v>58</v>
      </c>
      <c r="B60" s="0" t="n">
        <v>21110.5896460241</v>
      </c>
      <c r="C60" s="0" t="n">
        <v>3.17159325185448</v>
      </c>
      <c r="D60" s="0" t="n">
        <v>57114.2850451235</v>
      </c>
      <c r="E60" s="0" t="n">
        <v>2.93609619140625</v>
      </c>
      <c r="F60" s="0" t="n">
        <v>93119.3187772198</v>
      </c>
      <c r="G60" s="0" t="n">
        <v>3.16934913095812</v>
      </c>
      <c r="H60" s="0" t="n">
        <v>129122.70008432</v>
      </c>
      <c r="I60" s="0" t="n">
        <v>2.93548583984375</v>
      </c>
      <c r="J60" s="0" t="n">
        <v>165128.079803415</v>
      </c>
      <c r="K60" s="0" t="n">
        <v>3.17088425761488</v>
      </c>
      <c r="L60" s="0" t="n">
        <v>201131.471111515</v>
      </c>
      <c r="M60" s="0" t="n">
        <v>2.93487548828125</v>
      </c>
      <c r="N60" s="0" t="n">
        <v>237136.86983761</v>
      </c>
      <c r="O60" s="0" t="n">
        <v>3.17250877919827</v>
      </c>
      <c r="P60" s="0" t="n">
        <v>273140.29714671</v>
      </c>
      <c r="Q60" s="0" t="n">
        <v>2.9364013671875</v>
      </c>
      <c r="R60" s="0" t="n">
        <v>309145.882875805</v>
      </c>
      <c r="S60" s="0" t="n">
        <v>3.17240088877069</v>
      </c>
      <c r="T60" s="0" t="n">
        <v>345149.342184905</v>
      </c>
      <c r="U60" s="0" t="n">
        <v>2.93548583984375</v>
      </c>
      <c r="W60" s="0" t="n">
        <f aca="false">(1*B60)/3600</f>
        <v>5.86405267945114</v>
      </c>
      <c r="X60" s="0" t="n">
        <f aca="false">(W60/$W$101)*100</f>
        <v>58.6091605132054</v>
      </c>
      <c r="AG60" s="0" t="n">
        <f aca="false">$W$100-1*(D60-$D$2)/3600</f>
        <v>4.04592137091017</v>
      </c>
      <c r="AH60" s="0" t="n">
        <f aca="false">100-X60</f>
        <v>41.3908394867946</v>
      </c>
    </row>
    <row r="61" customFormat="false" ht="12.8" hidden="false" customHeight="false" outlineLevel="0" collapsed="false">
      <c r="A61" s="1" t="n">
        <v>59</v>
      </c>
      <c r="B61" s="0" t="n">
        <v>21474.2159077323</v>
      </c>
      <c r="C61" s="0" t="n">
        <v>3.17230224609375</v>
      </c>
      <c r="D61" s="0" t="n">
        <v>57477.9113068317</v>
      </c>
      <c r="E61" s="0" t="n">
        <v>2.9351806640625</v>
      </c>
      <c r="F61" s="0" t="n">
        <v>93482.945038928</v>
      </c>
      <c r="G61" s="0" t="n">
        <v>3.1710661300506</v>
      </c>
      <c r="H61" s="0" t="n">
        <v>129486.326346028</v>
      </c>
      <c r="I61" s="0" t="n">
        <v>2.9345703125</v>
      </c>
      <c r="J61" s="0" t="n">
        <v>165491.706065123</v>
      </c>
      <c r="K61" s="0" t="n">
        <v>3.172607421875</v>
      </c>
      <c r="L61" s="0" t="n">
        <v>201495.097373223</v>
      </c>
      <c r="M61" s="0" t="n">
        <v>2.93367019807458</v>
      </c>
      <c r="N61" s="0" t="n">
        <v>237500.496099318</v>
      </c>
      <c r="O61" s="0" t="n">
        <v>3.17291259765625</v>
      </c>
      <c r="P61" s="0" t="n">
        <v>273503.923408418</v>
      </c>
      <c r="Q61" s="0" t="n">
        <v>2.9351806640625</v>
      </c>
      <c r="R61" s="0" t="n">
        <v>309509.509137513</v>
      </c>
      <c r="S61" s="0" t="n">
        <v>3.17356918797284</v>
      </c>
      <c r="T61" s="0" t="n">
        <v>345512.968446613</v>
      </c>
      <c r="U61" s="0" t="n">
        <v>2.9345703125</v>
      </c>
      <c r="W61" s="0" t="n">
        <f aca="false">(1*B61)/3600</f>
        <v>5.96505997437008</v>
      </c>
      <c r="X61" s="0" t="n">
        <f aca="false">(W61/$W$101)*100</f>
        <v>59.6186931836151</v>
      </c>
      <c r="AG61" s="0" t="n">
        <f aca="false">$W$100-1*(D61-$D$2)/3600</f>
        <v>3.94491407599122</v>
      </c>
      <c r="AH61" s="0" t="n">
        <f aca="false">100-X61</f>
        <v>40.3813068163849</v>
      </c>
    </row>
    <row r="62" customFormat="false" ht="12.8" hidden="false" customHeight="false" outlineLevel="0" collapsed="false">
      <c r="A62" s="1" t="n">
        <v>60</v>
      </c>
      <c r="B62" s="0" t="n">
        <v>21837.8421694405</v>
      </c>
      <c r="C62" s="0" t="n">
        <v>3.17273689038826</v>
      </c>
      <c r="D62" s="0" t="n">
        <v>57841.5375685399</v>
      </c>
      <c r="E62" s="0" t="n">
        <v>2.93426513671875</v>
      </c>
      <c r="F62" s="0" t="n">
        <v>93846.5713006362</v>
      </c>
      <c r="G62" s="0" t="n">
        <v>3.17156242601809</v>
      </c>
      <c r="H62" s="0" t="n">
        <v>129849.952607736</v>
      </c>
      <c r="I62" s="0" t="n">
        <v>2.93365478515625</v>
      </c>
      <c r="J62" s="0" t="n">
        <v>165855.332326832</v>
      </c>
      <c r="K62" s="0" t="n">
        <v>3.17317153468248</v>
      </c>
      <c r="L62" s="0" t="n">
        <v>201858.723634932</v>
      </c>
      <c r="M62" s="0" t="n">
        <v>2.93243408203125</v>
      </c>
      <c r="N62" s="0" t="n">
        <v>237864.122361027</v>
      </c>
      <c r="O62" s="0" t="n">
        <v>3.17387436375467</v>
      </c>
      <c r="P62" s="0" t="n">
        <v>273867.549670127</v>
      </c>
      <c r="Q62" s="0" t="n">
        <v>2.9339599609375</v>
      </c>
      <c r="R62" s="0" t="n">
        <v>309873.135399222</v>
      </c>
      <c r="S62" s="0" t="n">
        <v>3.17426276929436</v>
      </c>
      <c r="T62" s="0" t="n">
        <v>345876.594708322</v>
      </c>
      <c r="U62" s="0" t="n">
        <v>2.933349609375</v>
      </c>
      <c r="W62" s="0" t="n">
        <f aca="false">(1*B62)/3600</f>
        <v>6.06606726928903</v>
      </c>
      <c r="X62" s="0" t="n">
        <f aca="false">(W62/$W$101)*100</f>
        <v>60.6282258540247</v>
      </c>
      <c r="AG62" s="0" t="n">
        <f aca="false">$W$100-1*(D62-$D$2)/3600</f>
        <v>3.84390678107228</v>
      </c>
      <c r="AH62" s="0" t="n">
        <f aca="false">100-X62</f>
        <v>39.3717741459753</v>
      </c>
    </row>
    <row r="63" customFormat="false" ht="12.8" hidden="false" customHeight="false" outlineLevel="0" collapsed="false">
      <c r="A63" s="1" t="n">
        <v>61</v>
      </c>
      <c r="B63" s="0" t="n">
        <v>22201.4684311487</v>
      </c>
      <c r="C63" s="0" t="n">
        <v>3.17376647332702</v>
      </c>
      <c r="D63" s="0" t="n">
        <v>58205.1638302481</v>
      </c>
      <c r="E63" s="0" t="n">
        <v>2.933349609375</v>
      </c>
      <c r="F63" s="0" t="n">
        <v>94210.1975623444</v>
      </c>
      <c r="G63" s="0" t="n">
        <v>3.17236389776683</v>
      </c>
      <c r="H63" s="0" t="n">
        <v>130213.578869444</v>
      </c>
      <c r="I63" s="0" t="n">
        <v>2.93243408203125</v>
      </c>
      <c r="J63" s="0" t="n">
        <v>166218.95858854</v>
      </c>
      <c r="K63" s="0" t="n">
        <v>3.17462034899761</v>
      </c>
      <c r="L63" s="0" t="n">
        <v>202222.34989664</v>
      </c>
      <c r="M63" s="0" t="n">
        <v>2.93121337890625</v>
      </c>
      <c r="N63" s="0" t="n">
        <v>238227.748622735</v>
      </c>
      <c r="O63" s="0" t="n">
        <v>3.17456177990852</v>
      </c>
      <c r="P63" s="0" t="n">
        <v>274231.175931835</v>
      </c>
      <c r="Q63" s="0" t="n">
        <v>2.9327392578125</v>
      </c>
      <c r="R63" s="0" t="n">
        <v>310236.76166093</v>
      </c>
      <c r="S63" s="0" t="n">
        <v>3.175048828125</v>
      </c>
      <c r="T63" s="0" t="n">
        <v>346240.22097003</v>
      </c>
      <c r="U63" s="0" t="n">
        <v>2.93212890625</v>
      </c>
      <c r="W63" s="0" t="n">
        <f aca="false">(1*B63)/3600</f>
        <v>6.16707456420797</v>
      </c>
      <c r="X63" s="0" t="n">
        <f aca="false">(W63/$W$101)*100</f>
        <v>61.6377585244343</v>
      </c>
      <c r="AG63" s="0" t="n">
        <f aca="false">$W$100-1*(D63-$D$2)/3600</f>
        <v>3.74289948615333</v>
      </c>
      <c r="AH63" s="0" t="n">
        <f aca="false">100-X63</f>
        <v>38.3622414755657</v>
      </c>
    </row>
    <row r="64" customFormat="false" ht="12.8" hidden="false" customHeight="false" outlineLevel="0" collapsed="false">
      <c r="A64" s="1" t="n">
        <v>62</v>
      </c>
      <c r="B64" s="0" t="n">
        <v>22565.0946928569</v>
      </c>
      <c r="C64" s="0" t="n">
        <v>3.17393293284407</v>
      </c>
      <c r="D64" s="0" t="n">
        <v>58568.7900919563</v>
      </c>
      <c r="E64" s="0" t="n">
        <v>2.93243408203125</v>
      </c>
      <c r="F64" s="0" t="n">
        <v>94573.8238240526</v>
      </c>
      <c r="G64" s="0" t="n">
        <v>3.17352294921875</v>
      </c>
      <c r="H64" s="0" t="n">
        <v>130577.205131153</v>
      </c>
      <c r="I64" s="0" t="n">
        <v>2.93121337890625</v>
      </c>
      <c r="J64" s="0" t="n">
        <v>166582.584850248</v>
      </c>
      <c r="K64" s="0" t="n">
        <v>3.17515363596902</v>
      </c>
      <c r="L64" s="0" t="n">
        <v>202585.976158348</v>
      </c>
      <c r="M64" s="0" t="n">
        <v>2.92999267578125</v>
      </c>
      <c r="N64" s="0" t="n">
        <v>238591.374884443</v>
      </c>
      <c r="O64" s="0" t="n">
        <v>3.17540640782826</v>
      </c>
      <c r="P64" s="0" t="n">
        <v>274594.802193543</v>
      </c>
      <c r="Q64" s="0" t="n">
        <v>2.9315185546875</v>
      </c>
      <c r="R64" s="0" t="n">
        <v>310600.387922638</v>
      </c>
      <c r="S64" s="0" t="n">
        <v>3.17626953125</v>
      </c>
      <c r="T64" s="0" t="n">
        <v>346603.847231738</v>
      </c>
      <c r="U64" s="0" t="n">
        <v>2.930908203125</v>
      </c>
      <c r="W64" s="0" t="n">
        <f aca="false">(1*B64)/3600</f>
        <v>6.26808185912692</v>
      </c>
      <c r="X64" s="0" t="n">
        <f aca="false">(W64/$W$101)*100</f>
        <v>62.647291194844</v>
      </c>
      <c r="AG64" s="0" t="n">
        <f aca="false">$W$100-1*(D64-$D$2)/3600</f>
        <v>3.64189219123439</v>
      </c>
      <c r="AH64" s="0" t="n">
        <f aca="false">100-X64</f>
        <v>37.352708805156</v>
      </c>
    </row>
    <row r="65" customFormat="false" ht="12.8" hidden="false" customHeight="false" outlineLevel="0" collapsed="false">
      <c r="A65" s="1" t="n">
        <v>63</v>
      </c>
      <c r="B65" s="0" t="n">
        <v>22928.7209545651</v>
      </c>
      <c r="C65" s="0" t="n">
        <v>3.1747159090909</v>
      </c>
      <c r="D65" s="0" t="n">
        <v>58932.4163536645</v>
      </c>
      <c r="E65" s="0" t="n">
        <v>2.9315185546875</v>
      </c>
      <c r="F65" s="0" t="n">
        <v>94937.4500857608</v>
      </c>
      <c r="G65" s="0" t="n">
        <v>3.17441073330986</v>
      </c>
      <c r="H65" s="0" t="n">
        <v>130940.831392861</v>
      </c>
      <c r="I65" s="0" t="n">
        <v>2.9302978515625</v>
      </c>
      <c r="J65" s="0" t="n">
        <v>166946.211111956</v>
      </c>
      <c r="K65" s="0" t="n">
        <v>3.17599209872131</v>
      </c>
      <c r="L65" s="0" t="n">
        <v>202949.602420056</v>
      </c>
      <c r="M65" s="0" t="n">
        <v>2.92877197265625</v>
      </c>
      <c r="N65" s="0" t="n">
        <v>238955.001146151</v>
      </c>
      <c r="O65" s="0" t="n">
        <v>3.17643599076707</v>
      </c>
      <c r="P65" s="0" t="n">
        <v>274958.428455251</v>
      </c>
      <c r="Q65" s="0" t="n">
        <v>2.9302978515625</v>
      </c>
      <c r="R65" s="0" t="n">
        <v>310964.014184346</v>
      </c>
      <c r="S65" s="0" t="n">
        <v>3.17704634232941</v>
      </c>
      <c r="T65" s="0" t="n">
        <v>346967.473493446</v>
      </c>
      <c r="U65" s="0" t="n">
        <v>2.92938232421875</v>
      </c>
      <c r="W65" s="0" t="n">
        <f aca="false">(1*B65)/3600</f>
        <v>6.36908915404586</v>
      </c>
      <c r="X65" s="0" t="n">
        <f aca="false">(W65/$W$101)*100</f>
        <v>63.6568238652536</v>
      </c>
      <c r="AG65" s="0" t="n">
        <f aca="false">$W$100-1*(D65-$D$2)/3600</f>
        <v>3.54088489631545</v>
      </c>
      <c r="AH65" s="0" t="n">
        <f aca="false">100-X65</f>
        <v>36.3431761347464</v>
      </c>
    </row>
    <row r="66" customFormat="false" ht="12.8" hidden="false" customHeight="false" outlineLevel="0" collapsed="false">
      <c r="A66" s="1" t="n">
        <v>64</v>
      </c>
      <c r="B66" s="0" t="n">
        <v>23292.3472162733</v>
      </c>
      <c r="C66" s="0" t="n">
        <v>3.17593969479956</v>
      </c>
      <c r="D66" s="0" t="n">
        <v>59296.0426153727</v>
      </c>
      <c r="E66" s="0" t="n">
        <v>2.93060302734375</v>
      </c>
      <c r="F66" s="0" t="n">
        <v>95301.076347469</v>
      </c>
      <c r="G66" s="0" t="n">
        <v>3.17448779790109</v>
      </c>
      <c r="H66" s="0" t="n">
        <v>131304.457654569</v>
      </c>
      <c r="I66" s="0" t="n">
        <v>2.9290771484375</v>
      </c>
      <c r="J66" s="0" t="n">
        <v>167309.837373664</v>
      </c>
      <c r="K66" s="0" t="n">
        <v>3.17657470703125</v>
      </c>
      <c r="L66" s="0" t="n">
        <v>203313.228681764</v>
      </c>
      <c r="M66" s="0" t="n">
        <v>2.92724609375</v>
      </c>
      <c r="N66" s="0" t="n">
        <v>239318.627407859</v>
      </c>
      <c r="O66" s="0" t="n">
        <v>3.17690454348161</v>
      </c>
      <c r="P66" s="0" t="n">
        <v>275322.054716959</v>
      </c>
      <c r="Q66" s="0" t="n">
        <v>2.9290771484375</v>
      </c>
      <c r="R66" s="0" t="n">
        <v>311327.640446054</v>
      </c>
      <c r="S66" s="0" t="n">
        <v>3.17782007082563</v>
      </c>
      <c r="T66" s="0" t="n">
        <v>347331.099755154</v>
      </c>
      <c r="U66" s="0" t="n">
        <v>2.92816162109375</v>
      </c>
      <c r="W66" s="0" t="n">
        <f aca="false">(1*B66)/3600</f>
        <v>6.47009644896481</v>
      </c>
      <c r="X66" s="0" t="n">
        <f aca="false">(W66/$W$101)*100</f>
        <v>64.6663565356633</v>
      </c>
      <c r="AG66" s="0" t="n">
        <f aca="false">$W$100-1*(D66-$D$2)/3600</f>
        <v>3.4398776013965</v>
      </c>
      <c r="AH66" s="0" t="n">
        <f aca="false">100-X66</f>
        <v>35.3336434643367</v>
      </c>
    </row>
    <row r="67" customFormat="false" ht="12.8" hidden="false" customHeight="false" outlineLevel="0" collapsed="false">
      <c r="A67" s="1" t="n">
        <v>65</v>
      </c>
      <c r="B67" s="0" t="n">
        <v>23655.9734779815</v>
      </c>
      <c r="C67" s="0" t="n">
        <v>3.1763959171796</v>
      </c>
      <c r="D67" s="0" t="n">
        <v>59659.6688770809</v>
      </c>
      <c r="E67" s="0" t="n">
        <v>2.9296875</v>
      </c>
      <c r="F67" s="0" t="n">
        <v>95664.7026091772</v>
      </c>
      <c r="G67" s="0" t="n">
        <v>3.17596435546875</v>
      </c>
      <c r="H67" s="0" t="n">
        <v>131668.083916277</v>
      </c>
      <c r="I67" s="0" t="n">
        <v>2.9278564453125</v>
      </c>
      <c r="J67" s="0" t="n">
        <v>167673.463635372</v>
      </c>
      <c r="K67" s="0" t="n">
        <v>3.17788480508192</v>
      </c>
      <c r="L67" s="0" t="n">
        <v>203676.854943472</v>
      </c>
      <c r="M67" s="0" t="n">
        <v>2.926025390625</v>
      </c>
      <c r="N67" s="0" t="n">
        <v>239682.253669567</v>
      </c>
      <c r="O67" s="0" t="n">
        <v>3.17801119101162</v>
      </c>
      <c r="P67" s="0" t="n">
        <v>275685.680978667</v>
      </c>
      <c r="Q67" s="0" t="n">
        <v>2.92755126953125</v>
      </c>
      <c r="R67" s="0" t="n">
        <v>311691.266707763</v>
      </c>
      <c r="S67" s="0" t="n">
        <v>3.17880033242565</v>
      </c>
      <c r="T67" s="0" t="n">
        <v>347694.726016863</v>
      </c>
      <c r="U67" s="0" t="n">
        <v>2.92694091796875</v>
      </c>
      <c r="W67" s="0" t="n">
        <f aca="false">(1*B67)/3600</f>
        <v>6.57110374388375</v>
      </c>
      <c r="X67" s="0" t="n">
        <f aca="false">(W67/$W$101)*100</f>
        <v>65.6758892060729</v>
      </c>
      <c r="AG67" s="0" t="n">
        <f aca="false">$W$100-1*(D67-$D$2)/3600</f>
        <v>3.33887030647756</v>
      </c>
      <c r="AH67" s="0" t="n">
        <f aca="false">100-X67</f>
        <v>34.3241107939271</v>
      </c>
    </row>
    <row r="68" customFormat="false" ht="12.8" hidden="false" customHeight="false" outlineLevel="0" collapsed="false">
      <c r="A68" s="1" t="n">
        <v>66</v>
      </c>
      <c r="B68" s="0" t="n">
        <v>24019.5997396897</v>
      </c>
      <c r="C68" s="0" t="n">
        <v>3.17677815755207</v>
      </c>
      <c r="D68" s="0" t="n">
        <v>60023.2951387891</v>
      </c>
      <c r="E68" s="0" t="n">
        <v>2.928466796875</v>
      </c>
      <c r="F68" s="0" t="n">
        <v>96028.3288708854</v>
      </c>
      <c r="G68" s="0" t="n">
        <v>3.17708333333323</v>
      </c>
      <c r="H68" s="0" t="n">
        <v>132031.710177985</v>
      </c>
      <c r="I68" s="0" t="n">
        <v>2.9266357421875</v>
      </c>
      <c r="J68" s="0" t="n">
        <v>168037.089897081</v>
      </c>
      <c r="K68" s="0" t="n">
        <v>3.17881266276052</v>
      </c>
      <c r="L68" s="0" t="n">
        <v>204040.481205181</v>
      </c>
      <c r="M68" s="0" t="n">
        <v>2.92449951171875</v>
      </c>
      <c r="N68" s="0" t="n">
        <v>240045.879931276</v>
      </c>
      <c r="O68" s="0" t="n">
        <v>3.17921956380208</v>
      </c>
      <c r="P68" s="0" t="n">
        <v>276049.307240376</v>
      </c>
      <c r="Q68" s="0" t="n">
        <v>2.926025390625</v>
      </c>
      <c r="R68" s="0" t="n">
        <v>312054.892969471</v>
      </c>
      <c r="S68" s="0" t="n">
        <v>3.18013509114573</v>
      </c>
      <c r="T68" s="0" t="n">
        <v>348058.352278571</v>
      </c>
      <c r="U68" s="0" t="n">
        <v>2.9254150390625</v>
      </c>
      <c r="W68" s="0" t="n">
        <f aca="false">(1*B68)/3600</f>
        <v>6.67211103880269</v>
      </c>
      <c r="X68" s="0" t="n">
        <f aca="false">(W68/$W$101)*100</f>
        <v>66.6854218764825</v>
      </c>
      <c r="AG68" s="0" t="n">
        <f aca="false">$W$100-1*(D68-$D$2)/3600</f>
        <v>3.23786301155861</v>
      </c>
      <c r="AH68" s="0" t="n">
        <f aca="false">100-X68</f>
        <v>33.3145781235175</v>
      </c>
    </row>
    <row r="69" customFormat="false" ht="12.8" hidden="false" customHeight="false" outlineLevel="0" collapsed="false">
      <c r="A69" s="1" t="n">
        <v>67</v>
      </c>
      <c r="B69" s="0" t="n">
        <v>24383.2260013979</v>
      </c>
      <c r="C69" s="0" t="n">
        <v>3.17806359493369</v>
      </c>
      <c r="D69" s="0" t="n">
        <v>60386.9214004973</v>
      </c>
      <c r="E69" s="0" t="n">
        <v>2.92755126953125</v>
      </c>
      <c r="F69" s="0" t="n">
        <v>96391.9551325936</v>
      </c>
      <c r="G69" s="0" t="n">
        <v>3.17840576171875</v>
      </c>
      <c r="H69" s="0" t="n">
        <v>132395.336439694</v>
      </c>
      <c r="I69" s="0" t="n">
        <v>2.92510986328125</v>
      </c>
      <c r="J69" s="0" t="n">
        <v>168400.716158789</v>
      </c>
      <c r="K69" s="0" t="n">
        <v>3.17963879517829</v>
      </c>
      <c r="L69" s="0" t="n">
        <v>204404.107466889</v>
      </c>
      <c r="M69" s="0" t="n">
        <v>2.9229736328125</v>
      </c>
      <c r="N69" s="0" t="n">
        <v>240409.506192984</v>
      </c>
      <c r="O69" s="0" t="n">
        <v>3.1796634558474</v>
      </c>
      <c r="P69" s="0" t="n">
        <v>276412.933502084</v>
      </c>
      <c r="Q69" s="0" t="n">
        <v>2.92449951171875</v>
      </c>
      <c r="R69" s="0" t="n">
        <v>312418.519231179</v>
      </c>
      <c r="S69" s="0" t="n">
        <v>3.18056665285658</v>
      </c>
      <c r="T69" s="0" t="n">
        <v>348421.978540279</v>
      </c>
      <c r="U69" s="0" t="n">
        <v>2.92388916015625</v>
      </c>
      <c r="W69" s="0" t="n">
        <f aca="false">(1*B69)/3600</f>
        <v>6.77311833372164</v>
      </c>
      <c r="X69" s="0" t="n">
        <f aca="false">(W69/$W$101)*100</f>
        <v>67.6949545468922</v>
      </c>
      <c r="AG69" s="0" t="n">
        <f aca="false">$W$100-1*(D69-$D$2)/3600</f>
        <v>3.13685571663967</v>
      </c>
      <c r="AH69" s="0" t="n">
        <f aca="false">100-X69</f>
        <v>32.3050454531078</v>
      </c>
    </row>
    <row r="70" customFormat="false" ht="12.8" hidden="false" customHeight="false" outlineLevel="0" collapsed="false">
      <c r="A70" s="1" t="n">
        <v>68</v>
      </c>
      <c r="B70" s="0" t="n">
        <v>24746.8522631061</v>
      </c>
      <c r="C70" s="0" t="n">
        <v>3.1787109375</v>
      </c>
      <c r="D70" s="0" t="n">
        <v>60750.5476622055</v>
      </c>
      <c r="E70" s="0" t="n">
        <v>2.92633056640625</v>
      </c>
      <c r="F70" s="0" t="n">
        <v>96755.5813943018</v>
      </c>
      <c r="G70" s="0" t="n">
        <v>3.17878491950727</v>
      </c>
      <c r="H70" s="0" t="n">
        <v>132758.962701402</v>
      </c>
      <c r="I70" s="0" t="n">
        <v>2.92388916015625</v>
      </c>
      <c r="J70" s="0" t="n">
        <v>168764.342420497</v>
      </c>
      <c r="K70" s="0" t="n">
        <v>3.18061597419477</v>
      </c>
      <c r="L70" s="0" t="n">
        <v>204767.733728597</v>
      </c>
      <c r="M70" s="0" t="n">
        <v>2.92144775390625</v>
      </c>
      <c r="N70" s="0" t="n">
        <v>240773.132454692</v>
      </c>
      <c r="O70" s="0" t="n">
        <v>3.18120474767199</v>
      </c>
      <c r="P70" s="0" t="n">
        <v>276776.559763792</v>
      </c>
      <c r="Q70" s="0" t="n">
        <v>2.9229736328125</v>
      </c>
      <c r="R70" s="0" t="n">
        <v>312782.145492887</v>
      </c>
      <c r="S70" s="0" t="n">
        <v>3.18219425702324</v>
      </c>
      <c r="T70" s="0" t="n">
        <v>348785.604801987</v>
      </c>
      <c r="U70" s="0" t="n">
        <v>2.92236328125</v>
      </c>
      <c r="W70" s="0" t="n">
        <f aca="false">(1*B70)/3600</f>
        <v>6.87412562864058</v>
      </c>
      <c r="X70" s="0" t="n">
        <f aca="false">(W70/$W$101)*100</f>
        <v>68.7044872173018</v>
      </c>
      <c r="AG70" s="0" t="n">
        <f aca="false">$W$100-1*(D70-$D$2)/3600</f>
        <v>3.03584842172072</v>
      </c>
      <c r="AH70" s="0" t="n">
        <f aca="false">100-X70</f>
        <v>31.2955127826982</v>
      </c>
    </row>
    <row r="71" customFormat="false" ht="12.8" hidden="false" customHeight="false" outlineLevel="0" collapsed="false">
      <c r="A71" s="1" t="n">
        <v>69</v>
      </c>
      <c r="B71" s="0" t="n">
        <v>25110.4785248143</v>
      </c>
      <c r="C71" s="0" t="n">
        <v>3.17921031605113</v>
      </c>
      <c r="D71" s="0" t="n">
        <v>61114.1739239137</v>
      </c>
      <c r="E71" s="0" t="n">
        <v>2.92510986328125</v>
      </c>
      <c r="F71" s="0" t="n">
        <v>97119.20765601</v>
      </c>
      <c r="G71" s="0" t="n">
        <v>3.18041252367404</v>
      </c>
      <c r="H71" s="0" t="n">
        <v>133122.58896311</v>
      </c>
      <c r="I71" s="0" t="n">
        <v>2.92266845703125</v>
      </c>
      <c r="J71" s="0" t="n">
        <v>169127.968682205</v>
      </c>
      <c r="K71" s="0" t="n">
        <v>3.18189216382609</v>
      </c>
      <c r="L71" s="0" t="n">
        <v>205131.359990305</v>
      </c>
      <c r="M71" s="0" t="n">
        <v>2.919921875</v>
      </c>
      <c r="N71" s="0" t="n">
        <v>241136.7587164</v>
      </c>
      <c r="O71" s="0" t="n">
        <v>3.18230831261844</v>
      </c>
      <c r="P71" s="0" t="n">
        <v>277140.1860255</v>
      </c>
      <c r="Q71" s="0" t="n">
        <v>2.92144775390625</v>
      </c>
      <c r="R71" s="0" t="n">
        <v>313145.771754595</v>
      </c>
      <c r="S71" s="0" t="n">
        <v>3.1829833984375</v>
      </c>
      <c r="T71" s="0" t="n">
        <v>349149.231063695</v>
      </c>
      <c r="U71" s="0" t="n">
        <v>2.92083740234375</v>
      </c>
      <c r="W71" s="0" t="n">
        <f aca="false">(1*B71)/3600</f>
        <v>6.97513292355953</v>
      </c>
      <c r="X71" s="0" t="n">
        <f aca="false">(W71/$W$101)*100</f>
        <v>69.7140198877114</v>
      </c>
      <c r="AG71" s="0" t="n">
        <f aca="false">$W$100-1*(D71-$D$2)/3600</f>
        <v>2.93484112680178</v>
      </c>
      <c r="AH71" s="0" t="n">
        <f aca="false">100-X71</f>
        <v>30.2859801122886</v>
      </c>
    </row>
    <row r="72" customFormat="false" ht="12.8" hidden="false" customHeight="false" outlineLevel="0" collapsed="false">
      <c r="A72" s="1" t="n">
        <v>70</v>
      </c>
      <c r="B72" s="0" t="n">
        <v>25474.1047865225</v>
      </c>
      <c r="C72" s="0" t="n">
        <v>3.18079784663036</v>
      </c>
      <c r="D72" s="0" t="n">
        <v>61477.8001856219</v>
      </c>
      <c r="E72" s="0" t="n">
        <v>2.9241943359375</v>
      </c>
      <c r="F72" s="0" t="n">
        <v>97482.8339177182</v>
      </c>
      <c r="G72" s="0" t="n">
        <v>3.18140819819297</v>
      </c>
      <c r="H72" s="0" t="n">
        <v>133486.215224818</v>
      </c>
      <c r="I72" s="0" t="n">
        <v>2.921142578125</v>
      </c>
      <c r="J72" s="0" t="n">
        <v>169491.594943913</v>
      </c>
      <c r="K72" s="0" t="n">
        <v>3.18282618667088</v>
      </c>
      <c r="L72" s="0" t="n">
        <v>205494.986252013</v>
      </c>
      <c r="M72" s="0" t="n">
        <v>2.91839599609375</v>
      </c>
      <c r="N72" s="0" t="n">
        <v>241500.384978108</v>
      </c>
      <c r="O72" s="0" t="n">
        <v>3.18333789555722</v>
      </c>
      <c r="P72" s="0" t="n">
        <v>277503.812287208</v>
      </c>
      <c r="Q72" s="0" t="n">
        <v>2.919921875</v>
      </c>
      <c r="R72" s="0" t="n">
        <v>313509.398016303</v>
      </c>
      <c r="S72" s="0" t="n">
        <v>3.1842041015625</v>
      </c>
      <c r="T72" s="0" t="n">
        <v>349512.857325403</v>
      </c>
      <c r="U72" s="0" t="n">
        <v>2.9193115234375</v>
      </c>
      <c r="W72" s="0" t="n">
        <f aca="false">(1*B72)/3600</f>
        <v>7.07614021847847</v>
      </c>
      <c r="X72" s="0" t="n">
        <f aca="false">(W72/$W$101)*100</f>
        <v>70.7235525581211</v>
      </c>
      <c r="AG72" s="0" t="n">
        <f aca="false">$W$100-1*(D72-$D$2)/3600</f>
        <v>2.83383383188284</v>
      </c>
      <c r="AH72" s="0" t="n">
        <f aca="false">100-X72</f>
        <v>29.2764474418789</v>
      </c>
    </row>
    <row r="73" customFormat="false" ht="12.8" hidden="false" customHeight="false" outlineLevel="0" collapsed="false">
      <c r="A73" s="1" t="n">
        <v>71</v>
      </c>
      <c r="B73" s="0" t="n">
        <v>25837.7310482307</v>
      </c>
      <c r="C73" s="0" t="n">
        <v>3.18131572068339</v>
      </c>
      <c r="D73" s="0" t="n">
        <v>61841.42644733</v>
      </c>
      <c r="E73" s="0" t="n">
        <v>2.9229736328125</v>
      </c>
      <c r="F73" s="0" t="n">
        <v>97846.4601794264</v>
      </c>
      <c r="G73" s="0" t="n">
        <v>3.18190449416046</v>
      </c>
      <c r="H73" s="0" t="n">
        <v>133849.841486526</v>
      </c>
      <c r="I73" s="0" t="n">
        <v>2.91961669921875</v>
      </c>
      <c r="J73" s="0" t="n">
        <v>169855.221205622</v>
      </c>
      <c r="K73" s="0" t="n">
        <v>3.18387734769592</v>
      </c>
      <c r="L73" s="0" t="n">
        <v>205858.612513722</v>
      </c>
      <c r="M73" s="0" t="n">
        <v>2.91656494140625</v>
      </c>
      <c r="N73" s="0" t="n">
        <v>241864.011239817</v>
      </c>
      <c r="O73" s="0" t="n">
        <v>3.18424725773372</v>
      </c>
      <c r="P73" s="0" t="n">
        <v>277867.438548917</v>
      </c>
      <c r="Q73" s="0" t="n">
        <v>2.9180908203125</v>
      </c>
      <c r="R73" s="0" t="n">
        <v>313873.024278012</v>
      </c>
      <c r="S73" s="0" t="n">
        <v>3.18526142775422</v>
      </c>
      <c r="T73" s="0" t="n">
        <v>349876.483587112</v>
      </c>
      <c r="U73" s="0" t="n">
        <v>2.91748046875</v>
      </c>
      <c r="W73" s="0" t="n">
        <f aca="false">(1*B73)/3600</f>
        <v>7.17714751339742</v>
      </c>
      <c r="X73" s="0" t="n">
        <f aca="false">(W73/$W$101)*100</f>
        <v>71.7330852285307</v>
      </c>
      <c r="AG73" s="0" t="n">
        <f aca="false">$W$100-1*(D73-$D$2)/3600</f>
        <v>2.73282653696392</v>
      </c>
      <c r="AH73" s="0" t="n">
        <f aca="false">100-X73</f>
        <v>28.2669147714693</v>
      </c>
    </row>
    <row r="74" customFormat="false" ht="12.8" hidden="false" customHeight="false" outlineLevel="0" collapsed="false">
      <c r="A74" s="1" t="n">
        <v>72</v>
      </c>
      <c r="B74" s="0" t="n">
        <v>26201.3573099389</v>
      </c>
      <c r="C74" s="0" t="n">
        <v>3.18231756036933</v>
      </c>
      <c r="D74" s="0" t="n">
        <v>62205.0527090382</v>
      </c>
      <c r="E74" s="0" t="n">
        <v>2.92144775390625</v>
      </c>
      <c r="F74" s="0" t="n">
        <v>98210.0864411346</v>
      </c>
      <c r="G74" s="0" t="n">
        <v>3.18356600674705</v>
      </c>
      <c r="H74" s="0" t="n">
        <v>134213.467748235</v>
      </c>
      <c r="I74" s="0" t="n">
        <v>2.9180908203125</v>
      </c>
      <c r="J74" s="0" t="n">
        <v>170218.84746733</v>
      </c>
      <c r="K74" s="0" t="n">
        <v>3.18514737215915</v>
      </c>
      <c r="L74" s="0" t="n">
        <v>206222.23877543</v>
      </c>
      <c r="M74" s="0" t="n">
        <v>2.9150390625</v>
      </c>
      <c r="N74" s="0" t="n">
        <v>242227.637501525</v>
      </c>
      <c r="O74" s="0" t="n">
        <v>3.18603515625</v>
      </c>
      <c r="P74" s="0" t="n">
        <v>278231.064810625</v>
      </c>
      <c r="Q74" s="0" t="n">
        <v>2.916259765625</v>
      </c>
      <c r="R74" s="0" t="n">
        <v>314236.65053972</v>
      </c>
      <c r="S74" s="0" t="n">
        <v>3.18697842684663</v>
      </c>
      <c r="T74" s="0" t="n">
        <v>350240.10984882</v>
      </c>
      <c r="U74" s="0" t="n">
        <v>2.91567715731538</v>
      </c>
      <c r="W74" s="0" t="n">
        <f aca="false">(1*B74)/3600</f>
        <v>7.27815480831636</v>
      </c>
      <c r="X74" s="0" t="n">
        <f aca="false">(W74/$W$101)*100</f>
        <v>72.7426178989404</v>
      </c>
      <c r="AG74" s="0" t="n">
        <f aca="false">$W$100-1*(D74-$D$2)/3600</f>
        <v>2.63181924204497</v>
      </c>
      <c r="AH74" s="0" t="n">
        <f aca="false">100-X74</f>
        <v>27.2573821010596</v>
      </c>
    </row>
    <row r="75" customFormat="false" ht="12.8" hidden="false" customHeight="false" outlineLevel="0" collapsed="false">
      <c r="A75" s="1" t="n">
        <v>73</v>
      </c>
      <c r="B75" s="0" t="n">
        <v>26564.983571647</v>
      </c>
      <c r="C75" s="0" t="n">
        <v>3.1829833984375</v>
      </c>
      <c r="D75" s="0" t="n">
        <v>62568.6789707464</v>
      </c>
      <c r="E75" s="0" t="n">
        <v>2.92022705078125</v>
      </c>
      <c r="F75" s="0" t="n">
        <v>98573.7127028428</v>
      </c>
      <c r="G75" s="0" t="n">
        <v>3.18472814078293</v>
      </c>
      <c r="H75" s="0" t="n">
        <v>134577.094009943</v>
      </c>
      <c r="I75" s="0" t="n">
        <v>2.91656494140625</v>
      </c>
      <c r="J75" s="0" t="n">
        <v>170582.473729038</v>
      </c>
      <c r="K75" s="0" t="n">
        <v>3.18681813249669</v>
      </c>
      <c r="L75" s="0" t="n">
        <v>206585.865037138</v>
      </c>
      <c r="M75" s="0" t="n">
        <v>2.9132080078125</v>
      </c>
      <c r="N75" s="0" t="n">
        <v>242591.263763233</v>
      </c>
      <c r="O75" s="0" t="n">
        <v>3.18703699593593</v>
      </c>
      <c r="P75" s="0" t="n">
        <v>278594.691072333</v>
      </c>
      <c r="Q75" s="0" t="n">
        <v>2.9144287109375</v>
      </c>
      <c r="R75" s="0" t="n">
        <v>314600.276801428</v>
      </c>
      <c r="S75" s="0" t="n">
        <v>3.18799876203457</v>
      </c>
      <c r="T75" s="0" t="n">
        <v>350603.736110528</v>
      </c>
      <c r="U75" s="0" t="n">
        <v>2.913818359375</v>
      </c>
      <c r="W75" s="0" t="n">
        <f aca="false">(1*B75)/3600</f>
        <v>7.37916210323528</v>
      </c>
      <c r="X75" s="0" t="n">
        <f aca="false">(W75/$W$101)*100</f>
        <v>73.7521505693497</v>
      </c>
      <c r="AG75" s="0" t="n">
        <f aca="false">$W$100-1*(D75-$D$2)/3600</f>
        <v>2.53081194712603</v>
      </c>
      <c r="AH75" s="0" t="n">
        <f aca="false">100-X75</f>
        <v>26.2478494306503</v>
      </c>
    </row>
    <row r="76" customFormat="false" ht="12.8" hidden="false" customHeight="false" outlineLevel="0" collapsed="false">
      <c r="A76" s="1" t="n">
        <v>74</v>
      </c>
      <c r="B76" s="0" t="n">
        <v>26928.6098333552</v>
      </c>
      <c r="C76" s="0" t="n">
        <v>3.18399448587437</v>
      </c>
      <c r="D76" s="0" t="n">
        <v>62932.3052324546</v>
      </c>
      <c r="E76" s="0" t="n">
        <v>2.91900634765625</v>
      </c>
      <c r="F76" s="0" t="n">
        <v>98937.338964551</v>
      </c>
      <c r="G76" s="0" t="n">
        <v>3.18532924459459</v>
      </c>
      <c r="H76" s="0" t="n">
        <v>134940.720271651</v>
      </c>
      <c r="I76" s="0" t="n">
        <v>2.9150390625</v>
      </c>
      <c r="J76" s="0" t="n">
        <v>170946.099990746</v>
      </c>
      <c r="K76" s="0" t="n">
        <v>3.1877614030933</v>
      </c>
      <c r="L76" s="0" t="n">
        <v>206949.491298846</v>
      </c>
      <c r="M76" s="0" t="n">
        <v>2.911376953125</v>
      </c>
      <c r="N76" s="0" t="n">
        <v>242954.890024941</v>
      </c>
      <c r="O76" s="0" t="n">
        <v>3.18827619456276</v>
      </c>
      <c r="P76" s="0" t="n">
        <v>278958.317334041</v>
      </c>
      <c r="Q76" s="0" t="n">
        <v>2.91259765625</v>
      </c>
      <c r="R76" s="0" t="n">
        <v>314963.903063136</v>
      </c>
      <c r="S76" s="0" t="n">
        <v>3.18948764993658</v>
      </c>
      <c r="T76" s="0" t="n">
        <v>350967.362372236</v>
      </c>
      <c r="U76" s="0" t="n">
        <v>2.9119873046875</v>
      </c>
      <c r="W76" s="0" t="n">
        <f aca="false">(1*B76)/3600</f>
        <v>7.48016939815422</v>
      </c>
      <c r="X76" s="0" t="n">
        <f aca="false">(W76/$W$101)*100</f>
        <v>74.7616832397594</v>
      </c>
      <c r="AG76" s="0" t="n">
        <f aca="false">$W$100-1*(D76-$D$2)/3600</f>
        <v>2.42980465220708</v>
      </c>
      <c r="AH76" s="0" t="n">
        <f aca="false">100-X76</f>
        <v>25.2383167602406</v>
      </c>
    </row>
    <row r="77" customFormat="false" ht="12.8" hidden="false" customHeight="false" outlineLevel="0" collapsed="false">
      <c r="A77" s="1" t="n">
        <v>75</v>
      </c>
      <c r="B77" s="0" t="n">
        <v>27292.2360950634</v>
      </c>
      <c r="C77" s="0" t="n">
        <v>3.18511962890625</v>
      </c>
      <c r="D77" s="0" t="n">
        <v>63295.9314941628</v>
      </c>
      <c r="E77" s="0" t="n">
        <v>2.91748046875</v>
      </c>
      <c r="F77" s="0" t="n">
        <v>99300.9652262592</v>
      </c>
      <c r="G77" s="0" t="n">
        <v>3.18694143584291</v>
      </c>
      <c r="H77" s="0" t="n">
        <v>135304.346533359</v>
      </c>
      <c r="I77" s="0" t="n">
        <v>2.9132080078125</v>
      </c>
      <c r="J77" s="0" t="n">
        <v>171309.726252454</v>
      </c>
      <c r="K77" s="0" t="n">
        <v>3.18907766631174</v>
      </c>
      <c r="L77" s="0" t="n">
        <v>207313.117560554</v>
      </c>
      <c r="M77" s="0" t="n">
        <v>2.9095458984375</v>
      </c>
      <c r="N77" s="0" t="n">
        <v>243318.516286649</v>
      </c>
      <c r="O77" s="0" t="n">
        <v>3.1899931936552</v>
      </c>
      <c r="P77" s="0" t="n">
        <v>279321.943595749</v>
      </c>
      <c r="Q77" s="0" t="n">
        <v>2.91046142578125</v>
      </c>
      <c r="R77" s="0" t="n">
        <v>315327.529324844</v>
      </c>
      <c r="S77" s="0" t="n">
        <v>3.19090872099923</v>
      </c>
      <c r="T77" s="0" t="n">
        <v>351330.988633944</v>
      </c>
      <c r="U77" s="0" t="n">
        <v>2.90985107421875</v>
      </c>
      <c r="W77" s="0" t="n">
        <f aca="false">(1*B77)/3600</f>
        <v>7.58117669307317</v>
      </c>
      <c r="X77" s="0" t="n">
        <f aca="false">(W77/$W$101)*100</f>
        <v>75.771215910169</v>
      </c>
      <c r="AG77" s="0" t="n">
        <f aca="false">$W$100-1*(D77-$D$2)/3600</f>
        <v>2.32879735728814</v>
      </c>
      <c r="AH77" s="0" t="n">
        <f aca="false">100-X77</f>
        <v>24.228784089831</v>
      </c>
    </row>
    <row r="78" customFormat="false" ht="12.8" hidden="false" customHeight="false" outlineLevel="0" collapsed="false">
      <c r="A78" s="1" t="n">
        <v>76</v>
      </c>
      <c r="B78" s="0" t="n">
        <v>27655.8623567716</v>
      </c>
      <c r="C78" s="0" t="n">
        <v>3.18634033203125</v>
      </c>
      <c r="D78" s="0" t="n">
        <v>63659.557755871</v>
      </c>
      <c r="E78" s="0" t="n">
        <v>2.91595458984375</v>
      </c>
      <c r="F78" s="0" t="n">
        <v>99664.5914879674</v>
      </c>
      <c r="G78" s="0" t="n">
        <v>3.18798951428335</v>
      </c>
      <c r="H78" s="0" t="n">
        <v>135667.972795067</v>
      </c>
      <c r="I78" s="0" t="n">
        <v>2.911376953125</v>
      </c>
      <c r="J78" s="0" t="n">
        <v>171673.352514163</v>
      </c>
      <c r="K78" s="0" t="n">
        <v>3.19024288293123</v>
      </c>
      <c r="L78" s="0" t="n">
        <v>207676.743822263</v>
      </c>
      <c r="M78" s="0" t="n">
        <v>2.90740966796875</v>
      </c>
      <c r="N78" s="0" t="n">
        <v>243682.142548358</v>
      </c>
      <c r="O78" s="0" t="n">
        <v>3.19079466540398</v>
      </c>
      <c r="P78" s="0" t="n">
        <v>279685.569857458</v>
      </c>
      <c r="Q78" s="0" t="n">
        <v>2.90863037109375</v>
      </c>
      <c r="R78" s="0" t="n">
        <v>315691.155586553</v>
      </c>
      <c r="S78" s="0" t="n">
        <v>3.19189206518332</v>
      </c>
      <c r="T78" s="0" t="n">
        <v>351694.614895653</v>
      </c>
      <c r="U78" s="0" t="n">
        <v>2.90771484375</v>
      </c>
      <c r="W78" s="0" t="n">
        <f aca="false">(1*B78)/3600</f>
        <v>7.68218398799211</v>
      </c>
      <c r="X78" s="0" t="n">
        <f aca="false">(W78/$W$101)*100</f>
        <v>76.7807485805786</v>
      </c>
      <c r="AG78" s="0" t="n">
        <f aca="false">$W$100-1*(D78-$D$2)/3600</f>
        <v>2.2277900623692</v>
      </c>
      <c r="AH78" s="0" t="n">
        <f aca="false">100-X78</f>
        <v>23.2192514194214</v>
      </c>
    </row>
    <row r="79" customFormat="false" ht="12.8" hidden="false" customHeight="false" outlineLevel="0" collapsed="false">
      <c r="A79" s="1" t="n">
        <v>77</v>
      </c>
      <c r="B79" s="0" t="n">
        <v>28019.4886184798</v>
      </c>
      <c r="C79" s="0" t="n">
        <v>3.18718804253473</v>
      </c>
      <c r="D79" s="0" t="n">
        <v>64023.1840175792</v>
      </c>
      <c r="E79" s="0" t="n">
        <v>2.9144287109375</v>
      </c>
      <c r="F79" s="0" t="n">
        <v>100028.217749676</v>
      </c>
      <c r="G79" s="0" t="n">
        <v>3.189697265625</v>
      </c>
      <c r="H79" s="0" t="n">
        <v>136031.599056776</v>
      </c>
      <c r="I79" s="0" t="n">
        <v>2.9095458984375</v>
      </c>
      <c r="J79" s="0" t="n">
        <v>172036.978775871</v>
      </c>
      <c r="K79" s="0" t="n">
        <v>3.1912909613716</v>
      </c>
      <c r="L79" s="0" t="n">
        <v>208040.370083971</v>
      </c>
      <c r="M79" s="0" t="n">
        <v>2.9052734375</v>
      </c>
      <c r="N79" s="0" t="n">
        <v>244045.768810066</v>
      </c>
      <c r="O79" s="0" t="n">
        <v>3.1927490234375</v>
      </c>
      <c r="P79" s="0" t="n">
        <v>280049.196119166</v>
      </c>
      <c r="Q79" s="0" t="n">
        <v>2.906494140625</v>
      </c>
      <c r="R79" s="0" t="n">
        <v>316054.781848261</v>
      </c>
      <c r="S79" s="0" t="n">
        <v>3.19342719184035</v>
      </c>
      <c r="T79" s="0" t="n">
        <v>352058.241157361</v>
      </c>
      <c r="U79" s="0" t="n">
        <v>2.90557861328125</v>
      </c>
      <c r="W79" s="0" t="n">
        <f aca="false">(1*B79)/3600</f>
        <v>7.78319128291106</v>
      </c>
      <c r="X79" s="0" t="n">
        <f aca="false">(W79/$W$101)*100</f>
        <v>77.7902812509883</v>
      </c>
      <c r="AG79" s="0" t="n">
        <f aca="false">$W$100-1*(D79-$D$2)/3600</f>
        <v>2.12678276745025</v>
      </c>
      <c r="AH79" s="0" t="n">
        <f aca="false">100-X79</f>
        <v>22.2097187490117</v>
      </c>
    </row>
    <row r="80" customFormat="false" ht="12.8" hidden="false" customHeight="false" outlineLevel="0" collapsed="false">
      <c r="A80" s="1" t="n">
        <v>78</v>
      </c>
      <c r="B80" s="0" t="n">
        <v>28383.114880188</v>
      </c>
      <c r="C80" s="0" t="n">
        <v>3.18812514796403</v>
      </c>
      <c r="D80" s="0" t="n">
        <v>64386.8102792874</v>
      </c>
      <c r="E80" s="0" t="n">
        <v>2.91259765625</v>
      </c>
      <c r="F80" s="0" t="n">
        <v>100391.844011384</v>
      </c>
      <c r="G80" s="0" t="n">
        <v>3.19065903172348</v>
      </c>
      <c r="H80" s="0" t="n">
        <v>136395.225318484</v>
      </c>
      <c r="I80" s="0" t="n">
        <v>2.90771484375</v>
      </c>
      <c r="J80" s="0" t="n">
        <v>172400.605037579</v>
      </c>
      <c r="K80" s="0" t="n">
        <v>3.1927490234375</v>
      </c>
      <c r="L80" s="0" t="n">
        <v>208403.996345679</v>
      </c>
      <c r="M80" s="0" t="n">
        <v>2.90313720703125</v>
      </c>
      <c r="N80" s="0" t="n">
        <v>244409.395071774</v>
      </c>
      <c r="O80" s="0" t="n">
        <v>3.19361831202653</v>
      </c>
      <c r="P80" s="0" t="n">
        <v>280412.822380874</v>
      </c>
      <c r="Q80" s="0" t="n">
        <v>2.904052734375</v>
      </c>
      <c r="R80" s="0" t="n">
        <v>316418.408109969</v>
      </c>
      <c r="S80" s="0" t="n">
        <v>3.19523666844218</v>
      </c>
      <c r="T80" s="0" t="n">
        <v>352421.867419069</v>
      </c>
      <c r="U80" s="0" t="n">
        <v>2.90318344578593</v>
      </c>
      <c r="W80" s="0" t="n">
        <f aca="false">(1*B80)/3600</f>
        <v>7.88419857783</v>
      </c>
      <c r="X80" s="0" t="n">
        <f aca="false">(W80/$W$101)*100</f>
        <v>78.7998139213979</v>
      </c>
      <c r="AG80" s="0" t="n">
        <f aca="false">$W$100-1*(D80-$D$2)/3600</f>
        <v>2.02577547253131</v>
      </c>
      <c r="AH80" s="0" t="n">
        <f aca="false">100-X80</f>
        <v>21.2001860786021</v>
      </c>
    </row>
    <row r="81" customFormat="false" ht="12.8" hidden="false" customHeight="false" outlineLevel="0" collapsed="false">
      <c r="A81" s="1" t="n">
        <v>79</v>
      </c>
      <c r="B81" s="0" t="n">
        <v>28746.7411418962</v>
      </c>
      <c r="C81" s="0" t="n">
        <v>3.18939208984375</v>
      </c>
      <c r="D81" s="0" t="n">
        <v>64750.4365409956</v>
      </c>
      <c r="E81" s="0" t="n">
        <v>2.91107177734375</v>
      </c>
      <c r="F81" s="0" t="n">
        <v>100755.470273092</v>
      </c>
      <c r="G81" s="0" t="n">
        <v>3.19184890901186</v>
      </c>
      <c r="H81" s="0" t="n">
        <v>136758.851580192</v>
      </c>
      <c r="I81" s="0" t="n">
        <v>2.90557861328125</v>
      </c>
      <c r="J81" s="0" t="n">
        <v>172764.231299287</v>
      </c>
      <c r="K81" s="0" t="n">
        <v>3.19366455078125</v>
      </c>
      <c r="L81" s="0" t="n">
        <v>208767.622607387</v>
      </c>
      <c r="M81" s="0" t="n">
        <v>2.9010009765625</v>
      </c>
      <c r="N81" s="0" t="n">
        <v>244773.021333482</v>
      </c>
      <c r="O81" s="0" t="n">
        <v>3.19474037247479</v>
      </c>
      <c r="P81" s="0" t="n">
        <v>280776.448642582</v>
      </c>
      <c r="Q81" s="0" t="n">
        <v>2.90191650390625</v>
      </c>
      <c r="R81" s="0" t="n">
        <v>316782.034371677</v>
      </c>
      <c r="S81" s="0" t="n">
        <v>3.19687660294339</v>
      </c>
      <c r="T81" s="0" t="n">
        <v>352785.493680777</v>
      </c>
      <c r="U81" s="0" t="n">
        <v>2.9010009765625</v>
      </c>
      <c r="W81" s="0" t="n">
        <f aca="false">(1*B81)/3600</f>
        <v>7.98520587274895</v>
      </c>
      <c r="X81" s="0" t="n">
        <f aca="false">(W81/$W$101)*100</f>
        <v>79.8093465918075</v>
      </c>
      <c r="AG81" s="0" t="n">
        <f aca="false">$W$100-1*(D81-$D$2)/3600</f>
        <v>1.92476817761236</v>
      </c>
      <c r="AH81" s="0" t="n">
        <f aca="false">100-X81</f>
        <v>20.1906534081925</v>
      </c>
    </row>
    <row r="82" customFormat="false" ht="12.8" hidden="false" customHeight="false" outlineLevel="0" collapsed="false">
      <c r="A82" s="1" t="n">
        <v>80</v>
      </c>
      <c r="B82" s="0" t="n">
        <v>29110.3674036044</v>
      </c>
      <c r="C82" s="0" t="n">
        <v>3.1903076171875</v>
      </c>
      <c r="D82" s="0" t="n">
        <v>65114.0628027038</v>
      </c>
      <c r="E82" s="0" t="n">
        <v>2.90924072265625</v>
      </c>
      <c r="F82" s="0" t="n">
        <v>101119.0965348</v>
      </c>
      <c r="G82" s="0" t="n">
        <v>3.19281067511073</v>
      </c>
      <c r="H82" s="0" t="n">
        <v>137122.4778419</v>
      </c>
      <c r="I82" s="0" t="n">
        <v>2.9034423828125</v>
      </c>
      <c r="J82" s="0" t="n">
        <v>173127.857560995</v>
      </c>
      <c r="K82" s="0" t="n">
        <v>3.19601347952128</v>
      </c>
      <c r="L82" s="0" t="n">
        <v>209131.248869095</v>
      </c>
      <c r="M82" s="0" t="n">
        <v>2.8985595703125</v>
      </c>
      <c r="N82" s="0" t="n">
        <v>245136.64759519</v>
      </c>
      <c r="O82" s="0" t="n">
        <v>3.19634948113973</v>
      </c>
      <c r="P82" s="0" t="n">
        <v>281140.07490429</v>
      </c>
      <c r="Q82" s="0" t="n">
        <v>2.89947509765625</v>
      </c>
      <c r="R82" s="0" t="n">
        <v>317145.660633385</v>
      </c>
      <c r="S82" s="0" t="n">
        <v>3.19821136166334</v>
      </c>
      <c r="T82" s="0" t="n">
        <v>353149.119942485</v>
      </c>
      <c r="U82" s="0" t="n">
        <v>2.89825439453125</v>
      </c>
      <c r="W82" s="0" t="n">
        <f aca="false">(1*B82)/3600</f>
        <v>8.08621316766789</v>
      </c>
      <c r="X82" s="0" t="n">
        <f aca="false">(W82/$W$101)*100</f>
        <v>80.8188792622172</v>
      </c>
      <c r="AG82" s="0" t="n">
        <f aca="false">$W$100-1*(D82-$D$2)/3600</f>
        <v>1.82376088269342</v>
      </c>
      <c r="AH82" s="0" t="n">
        <f aca="false">100-X82</f>
        <v>19.1811207377828</v>
      </c>
    </row>
    <row r="83" customFormat="false" ht="12.8" hidden="false" customHeight="false" outlineLevel="0" collapsed="false">
      <c r="A83" s="1" t="n">
        <v>81</v>
      </c>
      <c r="B83" s="0" t="n">
        <v>29473.9936653126</v>
      </c>
      <c r="C83" s="0" t="n">
        <v>3.19161155007102</v>
      </c>
      <c r="D83" s="0" t="n">
        <v>65477.689064412</v>
      </c>
      <c r="E83" s="0" t="n">
        <v>2.9071044921875</v>
      </c>
      <c r="F83" s="0" t="n">
        <v>101482.722796508</v>
      </c>
      <c r="G83" s="0" t="n">
        <v>3.19427490234375</v>
      </c>
      <c r="H83" s="0" t="n">
        <v>137486.104103608</v>
      </c>
      <c r="I83" s="0" t="n">
        <v>2.90130615234375</v>
      </c>
      <c r="J83" s="0" t="n">
        <v>173491.483822704</v>
      </c>
      <c r="K83" s="0" t="n">
        <v>3.19618918678963</v>
      </c>
      <c r="L83" s="0" t="n">
        <v>209494.875130804</v>
      </c>
      <c r="M83" s="0" t="n">
        <v>2.8961181640625</v>
      </c>
      <c r="N83" s="0" t="n">
        <v>245500.273856899</v>
      </c>
      <c r="O83" s="0" t="n">
        <v>3.19771506569611</v>
      </c>
      <c r="P83" s="0" t="n">
        <v>281503.701165999</v>
      </c>
      <c r="Q83" s="0" t="n">
        <v>2.89703369140625</v>
      </c>
      <c r="R83" s="0" t="n">
        <v>317509.286895094</v>
      </c>
      <c r="S83" s="0" t="n">
        <v>3.19990678267075</v>
      </c>
      <c r="T83" s="0" t="n">
        <v>353512.746204194</v>
      </c>
      <c r="U83" s="0" t="n">
        <v>2.89581298828125</v>
      </c>
      <c r="W83" s="0" t="n">
        <f aca="false">(1*B83)/3600</f>
        <v>8.18722046258683</v>
      </c>
      <c r="X83" s="0" t="n">
        <f aca="false">(W83/$W$101)*100</f>
        <v>81.8284119326268</v>
      </c>
      <c r="AG83" s="0" t="n">
        <f aca="false">$W$100-1*(D83-$D$2)/3600</f>
        <v>1.72275358777447</v>
      </c>
      <c r="AH83" s="0" t="n">
        <f aca="false">100-X83</f>
        <v>18.1715880673732</v>
      </c>
    </row>
    <row r="84" customFormat="false" ht="12.8" hidden="false" customHeight="false" outlineLevel="0" collapsed="false">
      <c r="A84" s="1" t="n">
        <v>82</v>
      </c>
      <c r="B84" s="0" t="n">
        <v>29837.6199270208</v>
      </c>
      <c r="C84" s="0" t="n">
        <v>3.19318058514841</v>
      </c>
      <c r="D84" s="0" t="n">
        <v>65841.3153261202</v>
      </c>
      <c r="E84" s="0" t="n">
        <v>2.90516554707229</v>
      </c>
      <c r="F84" s="0" t="n">
        <v>101846.349058217</v>
      </c>
      <c r="G84" s="0" t="n">
        <v>3.19580078125</v>
      </c>
      <c r="H84" s="0" t="n">
        <v>137849.730365317</v>
      </c>
      <c r="I84" s="0" t="n">
        <v>2.89886474609375</v>
      </c>
      <c r="J84" s="0" t="n">
        <v>173855.110084412</v>
      </c>
      <c r="K84" s="0" t="n">
        <v>3.19843947285345</v>
      </c>
      <c r="L84" s="0" t="n">
        <v>209858.501392512</v>
      </c>
      <c r="M84" s="0" t="n">
        <v>2.8936767578125</v>
      </c>
      <c r="N84" s="0" t="n">
        <v>245863.900118607</v>
      </c>
      <c r="O84" s="0" t="n">
        <v>3.19935500019731</v>
      </c>
      <c r="P84" s="0" t="n">
        <v>281867.327427707</v>
      </c>
      <c r="Q84" s="0" t="n">
        <v>2.894287109375</v>
      </c>
      <c r="R84" s="0" t="n">
        <v>317872.913156802</v>
      </c>
      <c r="S84" s="0" t="n">
        <v>3.20150972616808</v>
      </c>
      <c r="T84" s="0" t="n">
        <v>353876.372465902</v>
      </c>
      <c r="U84" s="0" t="n">
        <v>2.89306640625</v>
      </c>
      <c r="W84" s="0" t="n">
        <f aca="false">(1*B84)/3600</f>
        <v>8.28822775750578</v>
      </c>
      <c r="X84" s="0" t="n">
        <f aca="false">(W84/$W$101)*100</f>
        <v>82.8379446030364</v>
      </c>
      <c r="AG84" s="0" t="n">
        <f aca="false">$W$100-1*(D84-$D$2)/3600</f>
        <v>1.62174629285553</v>
      </c>
      <c r="AH84" s="0" t="n">
        <f aca="false">100-X84</f>
        <v>17.1620553969636</v>
      </c>
    </row>
    <row r="85" customFormat="false" ht="12.8" hidden="false" customHeight="false" outlineLevel="0" collapsed="false">
      <c r="A85" s="1" t="n">
        <v>83</v>
      </c>
      <c r="B85" s="0" t="n">
        <v>30201.246188729</v>
      </c>
      <c r="C85" s="0" t="n">
        <v>3.194580078125</v>
      </c>
      <c r="D85" s="0" t="n">
        <v>66204.9415878284</v>
      </c>
      <c r="E85" s="0" t="n">
        <v>2.90283203125</v>
      </c>
      <c r="F85" s="0" t="n">
        <v>102209.975319925</v>
      </c>
      <c r="G85" s="0" t="n">
        <v>3.1970276495423</v>
      </c>
      <c r="H85" s="0" t="n">
        <v>138213.356627025</v>
      </c>
      <c r="I85" s="0" t="n">
        <v>2.89642333984375</v>
      </c>
      <c r="J85" s="0" t="n">
        <v>174218.73634612</v>
      </c>
      <c r="K85" s="0" t="n">
        <v>3.19916388001102</v>
      </c>
      <c r="L85" s="0" t="n">
        <v>210222.12765422</v>
      </c>
      <c r="M85" s="0" t="n">
        <v>2.89093017578125</v>
      </c>
      <c r="N85" s="0" t="n">
        <v>246227.526380315</v>
      </c>
      <c r="O85" s="0" t="n">
        <v>3.20070208925183</v>
      </c>
      <c r="P85" s="0" t="n">
        <v>282230.953689415</v>
      </c>
      <c r="Q85" s="0" t="n">
        <v>2.89154052734375</v>
      </c>
      <c r="R85" s="0" t="n">
        <v>318236.53941851</v>
      </c>
      <c r="S85" s="0" t="n">
        <v>3.20343017578125</v>
      </c>
      <c r="T85" s="0" t="n">
        <v>354239.99872761</v>
      </c>
      <c r="U85" s="0" t="n">
        <v>2.89031982421875</v>
      </c>
      <c r="W85" s="0" t="n">
        <f aca="false">(1*B85)/3600</f>
        <v>8.38923505242472</v>
      </c>
      <c r="X85" s="0" t="n">
        <f aca="false">(W85/$W$101)*100</f>
        <v>83.8474772734461</v>
      </c>
      <c r="AG85" s="0" t="n">
        <f aca="false">$W$100-1*(D85-$D$2)/3600</f>
        <v>1.52073899793658</v>
      </c>
      <c r="AH85" s="0" t="n">
        <f aca="false">100-X85</f>
        <v>16.1525227265539</v>
      </c>
    </row>
    <row r="86" customFormat="false" ht="12.8" hidden="false" customHeight="false" outlineLevel="0" collapsed="false">
      <c r="A86" s="1" t="n">
        <v>84</v>
      </c>
      <c r="B86" s="0" t="n">
        <v>30564.8724504372</v>
      </c>
      <c r="C86" s="0" t="n">
        <v>3.19524591619315</v>
      </c>
      <c r="D86" s="0" t="n">
        <v>66568.5678495366</v>
      </c>
      <c r="E86" s="0" t="n">
        <v>2.900390625</v>
      </c>
      <c r="F86" s="0" t="n">
        <v>102573.601581633</v>
      </c>
      <c r="G86" s="0" t="n">
        <v>3.19842714251899</v>
      </c>
      <c r="H86" s="0" t="n">
        <v>138576.982888733</v>
      </c>
      <c r="I86" s="0" t="n">
        <v>2.89398193359375</v>
      </c>
      <c r="J86" s="0" t="n">
        <v>174582.362607828</v>
      </c>
      <c r="K86" s="0" t="n">
        <v>3.20074832800679</v>
      </c>
      <c r="L86" s="0" t="n">
        <v>210585.753915928</v>
      </c>
      <c r="M86" s="0" t="n">
        <v>2.88818359375</v>
      </c>
      <c r="N86" s="0" t="n">
        <v>246591.152642023</v>
      </c>
      <c r="O86" s="0" t="n">
        <v>3.20281982421875</v>
      </c>
      <c r="P86" s="0" t="n">
        <v>282594.579951123</v>
      </c>
      <c r="Q86" s="0" t="n">
        <v>2.8887939453125</v>
      </c>
      <c r="R86" s="0" t="n">
        <v>318600.165680218</v>
      </c>
      <c r="S86" s="0" t="n">
        <v>3.20507627544972</v>
      </c>
      <c r="T86" s="0" t="n">
        <v>354603.624989318</v>
      </c>
      <c r="U86" s="0" t="n">
        <v>2.88726806640625</v>
      </c>
      <c r="W86" s="0" t="n">
        <f aca="false">(1*B86)/3600</f>
        <v>8.49024234734367</v>
      </c>
      <c r="X86" s="0" t="n">
        <f aca="false">(W86/$W$101)*100</f>
        <v>84.8570099438557</v>
      </c>
      <c r="AG86" s="0" t="n">
        <f aca="false">$W$100-1*(D86-$D$2)/3600</f>
        <v>1.41973170301764</v>
      </c>
      <c r="AH86" s="0" t="n">
        <f aca="false">100-X86</f>
        <v>15.1429900561443</v>
      </c>
    </row>
    <row r="87" customFormat="false" ht="12.8" hidden="false" customHeight="false" outlineLevel="0" collapsed="false">
      <c r="A87" s="1" t="n">
        <v>85</v>
      </c>
      <c r="B87" s="0" t="n">
        <v>30928.4987121454</v>
      </c>
      <c r="C87" s="0" t="n">
        <v>3.19685810744163</v>
      </c>
      <c r="D87" s="0" t="n">
        <v>66932.1941112448</v>
      </c>
      <c r="E87" s="0" t="n">
        <v>2.89764404296875</v>
      </c>
      <c r="F87" s="0" t="n">
        <v>102937.227843341</v>
      </c>
      <c r="G87" s="0" t="n">
        <v>3.20014414161153</v>
      </c>
      <c r="H87" s="0" t="n">
        <v>138940.609150441</v>
      </c>
      <c r="I87" s="0" t="n">
        <v>2.8912353515625</v>
      </c>
      <c r="J87" s="0" t="n">
        <v>174945.988869536</v>
      </c>
      <c r="K87" s="0" t="n">
        <v>3.20197519629907</v>
      </c>
      <c r="L87" s="0" t="n">
        <v>210949.380177636</v>
      </c>
      <c r="M87" s="0" t="n">
        <v>2.88536611229492</v>
      </c>
      <c r="N87" s="0" t="n">
        <v>246954.778903731</v>
      </c>
      <c r="O87" s="0" t="n">
        <v>3.20418232619142</v>
      </c>
      <c r="P87" s="0" t="n">
        <v>282958.206212831</v>
      </c>
      <c r="Q87" s="0" t="n">
        <v>2.8857421875</v>
      </c>
      <c r="R87" s="0" t="n">
        <v>318963.791941926</v>
      </c>
      <c r="S87" s="0" t="n">
        <v>3.206787109375</v>
      </c>
      <c r="T87" s="0" t="n">
        <v>354967.251251026</v>
      </c>
      <c r="U87" s="0" t="n">
        <v>2.88421630859375</v>
      </c>
      <c r="W87" s="0" t="n">
        <f aca="false">(1*B87)/3600</f>
        <v>8.59124964226261</v>
      </c>
      <c r="X87" s="0" t="n">
        <f aca="false">(W87/$W$101)*100</f>
        <v>85.8665426142654</v>
      </c>
      <c r="AG87" s="0" t="n">
        <f aca="false">$W$100-1*(D87-$D$2)/3600</f>
        <v>1.3187244080987</v>
      </c>
      <c r="AH87" s="0" t="n">
        <f aca="false">100-X87</f>
        <v>14.1334573857346</v>
      </c>
    </row>
    <row r="88" customFormat="false" ht="12.8" hidden="false" customHeight="false" outlineLevel="0" collapsed="false">
      <c r="A88" s="1" t="n">
        <v>86</v>
      </c>
      <c r="B88" s="0" t="n">
        <v>31292.1249738536</v>
      </c>
      <c r="C88" s="0" t="n">
        <v>3.19850420711017</v>
      </c>
      <c r="D88" s="0" t="n">
        <v>67295.820372953</v>
      </c>
      <c r="E88" s="0" t="n">
        <v>2.8948974609375</v>
      </c>
      <c r="F88" s="0" t="n">
        <v>103300.854105049</v>
      </c>
      <c r="G88" s="0" t="n">
        <v>3.20050788648164</v>
      </c>
      <c r="H88" s="0" t="n">
        <v>139304.235412149</v>
      </c>
      <c r="I88" s="0" t="n">
        <v>2.88818359375</v>
      </c>
      <c r="J88" s="0" t="n">
        <v>175309.615131245</v>
      </c>
      <c r="K88" s="0" t="n">
        <v>3.20369219539157</v>
      </c>
      <c r="L88" s="0" t="n">
        <v>211313.006439345</v>
      </c>
      <c r="M88" s="0" t="n">
        <v>2.88238525390625</v>
      </c>
      <c r="N88" s="0" t="n">
        <v>247318.40516544</v>
      </c>
      <c r="O88" s="0" t="n">
        <v>3.20578526968886</v>
      </c>
      <c r="P88" s="0" t="n">
        <v>283321.83247454</v>
      </c>
      <c r="Q88" s="0" t="n">
        <v>2.8826904296875</v>
      </c>
      <c r="R88" s="0" t="n">
        <v>319327.418203635</v>
      </c>
      <c r="S88" s="0" t="n">
        <v>3.2086181640625</v>
      </c>
      <c r="T88" s="0" t="n">
        <v>355330.877512735</v>
      </c>
      <c r="U88" s="0" t="n">
        <v>2.88116455078125</v>
      </c>
      <c r="W88" s="0" t="n">
        <f aca="false">(1*B88)/3600</f>
        <v>8.69225693718156</v>
      </c>
      <c r="X88" s="0" t="n">
        <f aca="false">(W88/$W$101)*100</f>
        <v>86.876075284675</v>
      </c>
      <c r="AG88" s="0" t="n">
        <f aca="false">$W$100-1*(D88-$D$2)/3600</f>
        <v>1.21771711317975</v>
      </c>
      <c r="AH88" s="0" t="n">
        <f aca="false">100-X88</f>
        <v>13.123924715325</v>
      </c>
    </row>
    <row r="89" customFormat="false" ht="12.8" hidden="false" customHeight="false" outlineLevel="0" collapsed="false">
      <c r="A89" s="1" t="n">
        <v>87</v>
      </c>
      <c r="B89" s="0" t="n">
        <v>31655.7512355618</v>
      </c>
      <c r="C89" s="0" t="n">
        <v>3.20023045395359</v>
      </c>
      <c r="D89" s="0" t="n">
        <v>67659.4466346612</v>
      </c>
      <c r="E89" s="0" t="n">
        <v>2.891845703125</v>
      </c>
      <c r="F89" s="0" t="n">
        <v>103664.480366758</v>
      </c>
      <c r="G89" s="0" t="n">
        <v>3.20281982421875</v>
      </c>
      <c r="H89" s="0" t="n">
        <v>139667.861673858</v>
      </c>
      <c r="I89" s="0" t="n">
        <v>2.8851318359375</v>
      </c>
      <c r="J89" s="0" t="n">
        <v>175673.241392953</v>
      </c>
      <c r="K89" s="0" t="n">
        <v>3.2049560546875</v>
      </c>
      <c r="L89" s="0" t="n">
        <v>211676.632701053</v>
      </c>
      <c r="M89" s="0" t="n">
        <v>2.8790283203125</v>
      </c>
      <c r="N89" s="0" t="n">
        <v>247682.031427148</v>
      </c>
      <c r="O89" s="0" t="n">
        <v>3.2073974609375</v>
      </c>
      <c r="P89" s="0" t="n">
        <v>283685.458736248</v>
      </c>
      <c r="Q89" s="0" t="n">
        <v>2.879638671875</v>
      </c>
      <c r="R89" s="0" t="n">
        <v>319691.044465343</v>
      </c>
      <c r="S89" s="0" t="n">
        <v>3.2112167820785</v>
      </c>
      <c r="T89" s="0" t="n">
        <v>355694.503774443</v>
      </c>
      <c r="U89" s="0" t="n">
        <v>2.8778076171875</v>
      </c>
      <c r="W89" s="0" t="n">
        <f aca="false">(1*B89)/3600</f>
        <v>8.7932642321005</v>
      </c>
      <c r="X89" s="0" t="n">
        <f aca="false">(W89/$W$101)*100</f>
        <v>87.8856079550846</v>
      </c>
      <c r="AG89" s="0" t="n">
        <f aca="false">$W$100-1*(D89-$D$2)/3600</f>
        <v>1.11670981826081</v>
      </c>
      <c r="AH89" s="0" t="n">
        <f aca="false">100-X89</f>
        <v>12.1143920449154</v>
      </c>
    </row>
    <row r="90" customFormat="false" ht="12.8" hidden="false" customHeight="false" outlineLevel="0" collapsed="false">
      <c r="A90" s="1" t="n">
        <v>88</v>
      </c>
      <c r="B90" s="0" t="n">
        <v>32019.37749727</v>
      </c>
      <c r="C90" s="0" t="n">
        <v>3.2012939453125</v>
      </c>
      <c r="D90" s="0" t="n">
        <v>68023.0728963694</v>
      </c>
      <c r="E90" s="0" t="n">
        <v>2.88848876953125</v>
      </c>
      <c r="F90" s="0" t="n">
        <v>104028.106628466</v>
      </c>
      <c r="G90" s="0" t="n">
        <v>3.20376925998265</v>
      </c>
      <c r="H90" s="0" t="n">
        <v>140031.487935566</v>
      </c>
      <c r="I90" s="0" t="n">
        <v>2.88177490234375</v>
      </c>
      <c r="J90" s="0" t="n">
        <v>176036.867654661</v>
      </c>
      <c r="K90" s="0" t="n">
        <v>3.20648193359375</v>
      </c>
      <c r="L90" s="0" t="n">
        <v>212040.258962761</v>
      </c>
      <c r="M90" s="0" t="n">
        <v>2.87567138671875</v>
      </c>
      <c r="N90" s="0" t="n">
        <v>248045.657688856</v>
      </c>
      <c r="O90" s="0" t="n">
        <v>3.209228515625</v>
      </c>
      <c r="P90" s="0" t="n">
        <v>284049.084997956</v>
      </c>
      <c r="Q90" s="0" t="n">
        <v>2.8759765625</v>
      </c>
      <c r="R90" s="0" t="n">
        <v>320054.670727051</v>
      </c>
      <c r="S90" s="0" t="n">
        <v>3.21204291449659</v>
      </c>
      <c r="T90" s="0" t="n">
        <v>356058.130036151</v>
      </c>
      <c r="U90" s="0" t="n">
        <v>2.87441677517359</v>
      </c>
      <c r="W90" s="0" t="n">
        <f aca="false">(1*B90)/3600</f>
        <v>8.89427152701945</v>
      </c>
      <c r="X90" s="0" t="n">
        <f aca="false">(W90/$W$101)*100</f>
        <v>88.8951406254943</v>
      </c>
      <c r="AG90" s="0" t="n">
        <f aca="false">$W$100-1*(D90-$D$2)/3600</f>
        <v>1.01570252334186</v>
      </c>
      <c r="AH90" s="0" t="n">
        <f aca="false">100-X90</f>
        <v>11.1048593745057</v>
      </c>
    </row>
    <row r="91" customFormat="false" ht="12.8" hidden="false" customHeight="false" outlineLevel="0" collapsed="false">
      <c r="A91" s="1" t="n">
        <v>89</v>
      </c>
      <c r="B91" s="0" t="n">
        <v>32383.0037589782</v>
      </c>
      <c r="C91" s="0" t="n">
        <v>3.2027550899621</v>
      </c>
      <c r="D91" s="0" t="n">
        <v>68386.6991580776</v>
      </c>
      <c r="E91" s="0" t="n">
        <v>2.88482666015625</v>
      </c>
      <c r="F91" s="0" t="n">
        <v>104391.732890174</v>
      </c>
      <c r="G91" s="0" t="n">
        <v>3.20587158203125</v>
      </c>
      <c r="H91" s="0" t="n">
        <v>140395.114197274</v>
      </c>
      <c r="I91" s="0" t="n">
        <v>2.87811279296875</v>
      </c>
      <c r="J91" s="0" t="n">
        <v>176400.493916369</v>
      </c>
      <c r="K91" s="0" t="n">
        <v>3.20815269393161</v>
      </c>
      <c r="L91" s="0" t="n">
        <v>212403.885224469</v>
      </c>
      <c r="M91" s="0" t="n">
        <v>2.87200927734375</v>
      </c>
      <c r="N91" s="0" t="n">
        <v>248409.283950564</v>
      </c>
      <c r="O91" s="0" t="n">
        <v>3.21067424735635</v>
      </c>
      <c r="P91" s="0" t="n">
        <v>284412.711259664</v>
      </c>
      <c r="Q91" s="0" t="n">
        <v>2.87261962890625</v>
      </c>
      <c r="R91" s="0" t="n">
        <v>320418.296988759</v>
      </c>
      <c r="S91" s="0" t="n">
        <v>3.21480182686232</v>
      </c>
      <c r="T91" s="0" t="n">
        <v>356421.756297859</v>
      </c>
      <c r="U91" s="0" t="n">
        <v>2.87078857421875</v>
      </c>
      <c r="W91" s="0" t="n">
        <f aca="false">(1*B91)/3600</f>
        <v>8.99527882193839</v>
      </c>
      <c r="X91" s="0" t="n">
        <f aca="false">(W91/$W$101)*100</f>
        <v>89.9046732959039</v>
      </c>
      <c r="AG91" s="0" t="n">
        <f aca="false">$W$100-1*(D91-$D$2)/3600</f>
        <v>0.91469522842292</v>
      </c>
      <c r="AH91" s="0" t="n">
        <f aca="false">100-X91</f>
        <v>10.0953267040961</v>
      </c>
    </row>
    <row r="92" customFormat="false" ht="12.8" hidden="false" customHeight="false" outlineLevel="0" collapsed="false">
      <c r="A92" s="1" t="n">
        <v>90</v>
      </c>
      <c r="B92" s="0" t="n">
        <v>32746.6300206864</v>
      </c>
      <c r="C92" s="0" t="n">
        <v>3.20465087890625</v>
      </c>
      <c r="D92" s="0" t="n">
        <v>68750.3254197858</v>
      </c>
      <c r="E92" s="0" t="n">
        <v>2.88074840198863</v>
      </c>
      <c r="F92" s="0" t="n">
        <v>104755.359151882</v>
      </c>
      <c r="G92" s="0" t="n">
        <v>3.206787109375</v>
      </c>
      <c r="H92" s="0" t="n">
        <v>140758.740458982</v>
      </c>
      <c r="I92" s="0" t="n">
        <v>2.8741455078125</v>
      </c>
      <c r="J92" s="0" t="n">
        <v>176764.120178077</v>
      </c>
      <c r="K92" s="0" t="n">
        <v>3.209228515625</v>
      </c>
      <c r="L92" s="0" t="n">
        <v>212767.511486177</v>
      </c>
      <c r="M92" s="0" t="n">
        <v>2.86834716796875</v>
      </c>
      <c r="N92" s="0" t="n">
        <v>248772.910212272</v>
      </c>
      <c r="O92" s="0" t="n">
        <v>3.21250221946006</v>
      </c>
      <c r="P92" s="0" t="n">
        <v>284776.337521372</v>
      </c>
      <c r="Q92" s="0" t="n">
        <v>2.86895751953125</v>
      </c>
      <c r="R92" s="0" t="n">
        <v>320781.923250467</v>
      </c>
      <c r="S92" s="0" t="n">
        <v>3.21666370738648</v>
      </c>
      <c r="T92" s="0" t="n">
        <v>356785.382559567</v>
      </c>
      <c r="U92" s="0" t="n">
        <v>2.86712646484375</v>
      </c>
      <c r="W92" s="0" t="n">
        <f aca="false">(1*B92)/3600</f>
        <v>9.09628611685733</v>
      </c>
      <c r="X92" s="0" t="n">
        <f aca="false">(W92/$W$101)*100</f>
        <v>90.9142059663136</v>
      </c>
      <c r="AG92" s="0" t="n">
        <f aca="false">$W$100-1*(D92-$D$2)/3600</f>
        <v>0.813687933503973</v>
      </c>
      <c r="AH92" s="0" t="n">
        <f aca="false">100-X92</f>
        <v>9.08579403368645</v>
      </c>
    </row>
    <row r="93" customFormat="false" ht="12.8" hidden="false" customHeight="false" outlineLevel="0" collapsed="false">
      <c r="A93" s="1" t="n">
        <v>91</v>
      </c>
      <c r="B93" s="0" t="n">
        <v>33110.2562823945</v>
      </c>
      <c r="C93" s="0" t="n">
        <v>3.20648193359375</v>
      </c>
      <c r="D93" s="0" t="n">
        <v>69113.9516814939</v>
      </c>
      <c r="E93" s="0" t="n">
        <v>2.8765869140625</v>
      </c>
      <c r="F93" s="0" t="n">
        <v>105118.98541359</v>
      </c>
      <c r="G93" s="0" t="n">
        <v>3.20953060882275</v>
      </c>
      <c r="H93" s="0" t="n">
        <v>141122.36672069</v>
      </c>
      <c r="I93" s="0" t="n">
        <v>2.87017822265625</v>
      </c>
      <c r="J93" s="0" t="n">
        <v>177127.746439785</v>
      </c>
      <c r="K93" s="0" t="n">
        <v>3.21166067412454</v>
      </c>
      <c r="L93" s="0" t="n">
        <v>213131.137747885</v>
      </c>
      <c r="M93" s="0" t="n">
        <v>2.86468505859375</v>
      </c>
      <c r="N93" s="0" t="n">
        <v>249136.53647398</v>
      </c>
      <c r="O93" s="0" t="n">
        <v>3.21441650390625</v>
      </c>
      <c r="P93" s="0" t="n">
        <v>285139.96378308</v>
      </c>
      <c r="Q93" s="0" t="n">
        <v>2.86529541015625</v>
      </c>
      <c r="R93" s="0" t="n">
        <v>321145.549512176</v>
      </c>
      <c r="S93" s="0" t="n">
        <v>3.21808786103168</v>
      </c>
      <c r="T93" s="0" t="n">
        <v>357149.008821275</v>
      </c>
      <c r="U93" s="0" t="n">
        <v>2.8631591796875</v>
      </c>
      <c r="W93" s="0" t="n">
        <f aca="false">(1*B93)/3600</f>
        <v>9.19729341177625</v>
      </c>
      <c r="X93" s="0" t="n">
        <f aca="false">(W93/$W$101)*100</f>
        <v>91.9237386367229</v>
      </c>
      <c r="AG93" s="0" t="n">
        <f aca="false">$W$100-1*(D93-$D$2)/3600</f>
        <v>0.712680638585058</v>
      </c>
      <c r="AH93" s="0" t="n">
        <f aca="false">100-X93</f>
        <v>8.07626136327711</v>
      </c>
    </row>
    <row r="94" customFormat="false" ht="12.8" hidden="false" customHeight="false" outlineLevel="0" collapsed="false">
      <c r="A94" s="1" t="n">
        <v>92</v>
      </c>
      <c r="B94" s="0" t="n">
        <v>33473.8825441027</v>
      </c>
      <c r="C94" s="0" t="n">
        <v>3.20880620166509</v>
      </c>
      <c r="D94" s="0" t="n">
        <v>69477.5779432021</v>
      </c>
      <c r="E94" s="0" t="n">
        <v>2.87200927734375</v>
      </c>
      <c r="F94" s="0" t="n">
        <v>105482.611675299</v>
      </c>
      <c r="G94" s="0" t="n">
        <v>3.2111304697366</v>
      </c>
      <c r="H94" s="0" t="n">
        <v>141485.992982399</v>
      </c>
      <c r="I94" s="0" t="n">
        <v>2.8662109375</v>
      </c>
      <c r="J94" s="0" t="n">
        <v>177491.372701494</v>
      </c>
      <c r="K94" s="0" t="n">
        <v>3.21335917771423</v>
      </c>
      <c r="L94" s="0" t="n">
        <v>213494.764009594</v>
      </c>
      <c r="M94" s="0" t="n">
        <v>2.86041259765625</v>
      </c>
      <c r="N94" s="0" t="n">
        <v>249500.162735689</v>
      </c>
      <c r="O94" s="0" t="n">
        <v>3.21685791015625</v>
      </c>
      <c r="P94" s="0" t="n">
        <v>285503.590044789</v>
      </c>
      <c r="Q94" s="0" t="n">
        <v>2.861328125</v>
      </c>
      <c r="R94" s="0" t="n">
        <v>321509.175773884</v>
      </c>
      <c r="S94" s="0" t="n">
        <v>3.22120127051787</v>
      </c>
      <c r="T94" s="0" t="n">
        <v>357512.635082984</v>
      </c>
      <c r="U94" s="0" t="n">
        <v>2.85919189453125</v>
      </c>
      <c r="W94" s="0" t="n">
        <f aca="false">(1*B94)/3600</f>
        <v>9.29830070669519</v>
      </c>
      <c r="X94" s="0" t="n">
        <f aca="false">(W94/$W$101)*100</f>
        <v>92.9332713071326</v>
      </c>
      <c r="AG94" s="0" t="n">
        <f aca="false">$W$100-1*(D94-$D$2)/3600</f>
        <v>0.611673343666114</v>
      </c>
      <c r="AH94" s="0" t="n">
        <f aca="false">100-X94</f>
        <v>7.06672869286746</v>
      </c>
    </row>
    <row r="95" customFormat="false" ht="12.8" hidden="false" customHeight="false" outlineLevel="0" collapsed="false">
      <c r="A95" s="1" t="n">
        <v>93</v>
      </c>
      <c r="B95" s="0" t="n">
        <v>33837.5088058109</v>
      </c>
      <c r="C95" s="0" t="n">
        <v>3.21121678207859</v>
      </c>
      <c r="D95" s="0" t="n">
        <v>69841.2042049103</v>
      </c>
      <c r="E95" s="0" t="n">
        <v>2.86712646484375</v>
      </c>
      <c r="F95" s="0" t="n">
        <v>105846.237937007</v>
      </c>
      <c r="G95" s="0" t="n">
        <v>3.2135009765625</v>
      </c>
      <c r="H95" s="0" t="n">
        <v>141849.619244107</v>
      </c>
      <c r="I95" s="0" t="n">
        <v>2.86163330078125</v>
      </c>
      <c r="J95" s="0" t="n">
        <v>177854.998963202</v>
      </c>
      <c r="K95" s="0" t="n">
        <v>3.21547999526524</v>
      </c>
      <c r="L95" s="0" t="n">
        <v>213858.390271302</v>
      </c>
      <c r="M95" s="0" t="n">
        <v>2.8564453125</v>
      </c>
      <c r="N95" s="0" t="n">
        <v>249863.788997397</v>
      </c>
      <c r="O95" s="0" t="n">
        <v>3.21868896484375</v>
      </c>
      <c r="P95" s="0" t="n">
        <v>285867.216306497</v>
      </c>
      <c r="Q95" s="0" t="n">
        <v>2.8570556640625</v>
      </c>
      <c r="R95" s="0" t="n">
        <v>321872.802035592</v>
      </c>
      <c r="S95" s="0" t="n">
        <v>3.22357177734375</v>
      </c>
      <c r="T95" s="0" t="n">
        <v>357876.261344692</v>
      </c>
      <c r="U95" s="0" t="n">
        <v>2.85491943359375</v>
      </c>
      <c r="W95" s="0" t="n">
        <f aca="false">(1*B95)/3600</f>
        <v>9.39930800161414</v>
      </c>
      <c r="X95" s="0" t="n">
        <f aca="false">(W95/$W$101)*100</f>
        <v>93.9428039775422</v>
      </c>
      <c r="AG95" s="0" t="n">
        <f aca="false">$W$100-1*(D95-$D$2)/3600</f>
        <v>0.510666048747167</v>
      </c>
      <c r="AH95" s="0" t="n">
        <f aca="false">100-X95</f>
        <v>6.05719602245782</v>
      </c>
    </row>
    <row r="96" customFormat="false" ht="12.8" hidden="false" customHeight="false" outlineLevel="0" collapsed="false">
      <c r="A96" s="1" t="n">
        <v>94</v>
      </c>
      <c r="B96" s="0" t="n">
        <v>34201.1350675191</v>
      </c>
      <c r="C96" s="0" t="n">
        <v>3.21346090297507</v>
      </c>
      <c r="D96" s="0" t="n">
        <v>70204.8304666185</v>
      </c>
      <c r="E96" s="0" t="n">
        <v>2.86224365234375</v>
      </c>
      <c r="F96" s="0" t="n">
        <v>106209.864198715</v>
      </c>
      <c r="G96" s="0" t="n">
        <v>3.21563720703125</v>
      </c>
      <c r="H96" s="0" t="n">
        <v>142213.245505815</v>
      </c>
      <c r="I96" s="0" t="n">
        <v>2.8570556640625</v>
      </c>
      <c r="J96" s="0" t="n">
        <v>178218.62522491</v>
      </c>
      <c r="K96" s="0" t="n">
        <v>3.21807861328125</v>
      </c>
      <c r="L96" s="0" t="n">
        <v>214222.01653301</v>
      </c>
      <c r="M96" s="0" t="n">
        <v>2.85186767578125</v>
      </c>
      <c r="N96" s="0" t="n">
        <v>250227.415259105</v>
      </c>
      <c r="O96" s="0" t="n">
        <v>3.22192567767515</v>
      </c>
      <c r="P96" s="0" t="n">
        <v>286230.842568205</v>
      </c>
      <c r="Q96" s="0" t="n">
        <v>2.85308837890625</v>
      </c>
      <c r="R96" s="0" t="n">
        <v>322236.4282973</v>
      </c>
      <c r="S96" s="0" t="n">
        <v>3.22719381313132</v>
      </c>
      <c r="T96" s="0" t="n">
        <v>358239.8876064</v>
      </c>
      <c r="U96" s="0" t="n">
        <v>2.8509521484375</v>
      </c>
      <c r="W96" s="0" t="n">
        <f aca="false">(1*B96)/3600</f>
        <v>9.50031529653308</v>
      </c>
      <c r="X96" s="0" t="n">
        <f aca="false">(W96/$W$101)*100</f>
        <v>94.9523366479518</v>
      </c>
      <c r="AG96" s="0" t="n">
        <f aca="false">$W$100-1*(D96-$D$2)/3600</f>
        <v>0.409658753828225</v>
      </c>
      <c r="AH96" s="0" t="n">
        <f aca="false">100-X96</f>
        <v>5.04766335204819</v>
      </c>
    </row>
    <row r="97" customFormat="false" ht="12.8" hidden="false" customHeight="false" outlineLevel="0" collapsed="false">
      <c r="A97" s="1" t="n">
        <v>95</v>
      </c>
      <c r="B97" s="0" t="n">
        <v>34564.7613292273</v>
      </c>
      <c r="C97" s="0" t="n">
        <v>3.21609651199495</v>
      </c>
      <c r="D97" s="0" t="n">
        <v>70568.4567283267</v>
      </c>
      <c r="E97" s="0" t="n">
        <v>2.8570556640625</v>
      </c>
      <c r="F97" s="0" t="n">
        <v>106573.490460423</v>
      </c>
      <c r="G97" s="0" t="n">
        <v>3.21761930831762</v>
      </c>
      <c r="H97" s="0" t="n">
        <v>142576.871767523</v>
      </c>
      <c r="I97" s="0" t="n">
        <v>2.85247802734375</v>
      </c>
      <c r="J97" s="0" t="n">
        <v>178582.251486618</v>
      </c>
      <c r="K97" s="0" t="n">
        <v>3.22051693694778</v>
      </c>
      <c r="L97" s="0" t="n">
        <v>214585.642794718</v>
      </c>
      <c r="M97" s="0" t="n">
        <v>2.8472900390625</v>
      </c>
      <c r="N97" s="0" t="n">
        <v>250591.041520813</v>
      </c>
      <c r="O97" s="0" t="n">
        <v>3.22448422210371</v>
      </c>
      <c r="P97" s="0" t="n">
        <v>286594.468829913</v>
      </c>
      <c r="Q97" s="0" t="n">
        <v>2.8485107421875</v>
      </c>
      <c r="R97" s="0" t="n">
        <v>322600.054559008</v>
      </c>
      <c r="S97" s="0" t="n">
        <v>3.22997738616651</v>
      </c>
      <c r="T97" s="0" t="n">
        <v>358603.513868108</v>
      </c>
      <c r="U97" s="0" t="n">
        <v>2.84637451171875</v>
      </c>
      <c r="W97" s="0" t="n">
        <f aca="false">(1*B97)/3600</f>
        <v>9.60132259145203</v>
      </c>
      <c r="X97" s="0" t="n">
        <f aca="false">(W97/$W$101)*100</f>
        <v>95.9618693183615</v>
      </c>
      <c r="AG97" s="0" t="n">
        <f aca="false">$W$100-1*(D97-$D$2)/3600</f>
        <v>0.308651458909281</v>
      </c>
      <c r="AH97" s="0" t="n">
        <f aca="false">100-X97</f>
        <v>4.03813068163855</v>
      </c>
    </row>
    <row r="98" customFormat="false" ht="12.8" hidden="false" customHeight="false" outlineLevel="0" collapsed="false">
      <c r="A98" s="1" t="n">
        <v>96</v>
      </c>
      <c r="B98" s="0" t="n">
        <v>34928.3875909355</v>
      </c>
      <c r="C98" s="0" t="n">
        <v>3.21868896484375</v>
      </c>
      <c r="D98" s="0" t="n">
        <v>70932.0829900349</v>
      </c>
      <c r="E98" s="0" t="n">
        <v>2.85186767578125</v>
      </c>
      <c r="F98" s="0" t="n">
        <v>106937.116722131</v>
      </c>
      <c r="G98" s="0" t="n">
        <v>3.22032581676176</v>
      </c>
      <c r="H98" s="0" t="n">
        <v>142940.498029231</v>
      </c>
      <c r="I98" s="0" t="n">
        <v>2.84759521484375</v>
      </c>
      <c r="J98" s="0" t="n">
        <v>178945.877748326</v>
      </c>
      <c r="K98" s="0" t="n">
        <v>3.22383996212107</v>
      </c>
      <c r="L98" s="0" t="n">
        <v>214949.269056426</v>
      </c>
      <c r="M98" s="0" t="n">
        <v>2.84271240234375</v>
      </c>
      <c r="N98" s="0" t="n">
        <v>250954.667782521</v>
      </c>
      <c r="O98" s="0" t="n">
        <v>3.22700269294482</v>
      </c>
      <c r="P98" s="0" t="n">
        <v>286958.095091621</v>
      </c>
      <c r="Q98" s="0" t="n">
        <v>2.84393310546875</v>
      </c>
      <c r="R98" s="0" t="n">
        <v>322963.680820716</v>
      </c>
      <c r="S98" s="0" t="n">
        <v>3.23337439334768</v>
      </c>
      <c r="T98" s="0" t="n">
        <v>358967.140129816</v>
      </c>
      <c r="U98" s="0" t="n">
        <v>2.841796875</v>
      </c>
      <c r="W98" s="0" t="n">
        <f aca="false">(1*B98)/3600</f>
        <v>9.70232988637097</v>
      </c>
      <c r="X98" s="0" t="n">
        <f aca="false">(W98/$W$101)*100</f>
        <v>96.9714019887711</v>
      </c>
      <c r="AG98" s="0" t="n">
        <f aca="false">$W$100-1*(D98-$D$2)/3600</f>
        <v>0.207644163990334</v>
      </c>
      <c r="AH98" s="0" t="n">
        <f aca="false">100-X98</f>
        <v>3.02859801122892</v>
      </c>
    </row>
    <row r="99" customFormat="false" ht="12.8" hidden="false" customHeight="false" outlineLevel="0" collapsed="false">
      <c r="A99" s="1" t="n">
        <v>97</v>
      </c>
      <c r="B99" s="0" t="n">
        <v>35292.0138526437</v>
      </c>
      <c r="C99" s="0" t="n">
        <v>3.22227400962753</v>
      </c>
      <c r="D99" s="0" t="n">
        <v>71295.7092517431</v>
      </c>
      <c r="E99" s="0" t="n">
        <v>2.8466796875</v>
      </c>
      <c r="F99" s="0" t="n">
        <v>107300.74298384</v>
      </c>
      <c r="G99" s="0" t="n">
        <v>3.22379988853389</v>
      </c>
      <c r="H99" s="0" t="n">
        <v>143304.12429094</v>
      </c>
      <c r="I99" s="0" t="n">
        <v>2.84271240234375</v>
      </c>
      <c r="J99" s="0" t="n">
        <v>179309.504010035</v>
      </c>
      <c r="K99" s="0" t="n">
        <v>3.22685164634639</v>
      </c>
      <c r="L99" s="0" t="n">
        <v>215312.895318135</v>
      </c>
      <c r="M99" s="0" t="n">
        <v>2.838134765625</v>
      </c>
      <c r="N99" s="0" t="n">
        <v>251318.29404423</v>
      </c>
      <c r="O99" s="0" t="n">
        <v>3.23135221847358</v>
      </c>
      <c r="P99" s="0" t="n">
        <v>287321.72135333</v>
      </c>
      <c r="Q99" s="0" t="n">
        <v>2.83935546875</v>
      </c>
      <c r="R99" s="0" t="n">
        <v>323327.307082425</v>
      </c>
      <c r="S99" s="0" t="n">
        <v>3.2373817520911</v>
      </c>
      <c r="T99" s="0" t="n">
        <v>359330.766391525</v>
      </c>
      <c r="U99" s="0" t="n">
        <v>2.83721923828125</v>
      </c>
      <c r="W99" s="0" t="n">
        <f aca="false">(1*B99)/3600</f>
        <v>9.80333718128992</v>
      </c>
      <c r="X99" s="0" t="n">
        <f aca="false">(W99/$W$101)*100</f>
        <v>97.9809346591807</v>
      </c>
      <c r="AG99" s="0" t="n">
        <f aca="false">$W$100-1*(D99-$D$2)/3600</f>
        <v>0.106636869071391</v>
      </c>
      <c r="AH99" s="0" t="n">
        <f aca="false">100-X99</f>
        <v>2.01906534081927</v>
      </c>
    </row>
    <row r="100" customFormat="false" ht="12.8" hidden="false" customHeight="false" outlineLevel="0" collapsed="false">
      <c r="A100" s="1" t="n">
        <v>98</v>
      </c>
      <c r="B100" s="0" t="n">
        <v>35655.6401143519</v>
      </c>
      <c r="C100" s="0" t="n">
        <v>3.22521171184501</v>
      </c>
      <c r="D100" s="0" t="n">
        <v>71659.3355134513</v>
      </c>
      <c r="E100" s="0" t="n">
        <v>2.8411865234375</v>
      </c>
      <c r="F100" s="0" t="n">
        <v>107664.369245548</v>
      </c>
      <c r="G100" s="0" t="n">
        <v>3.22723388671875</v>
      </c>
      <c r="H100" s="0" t="n">
        <v>143667.750552648</v>
      </c>
      <c r="I100" s="0" t="n">
        <v>2.8375244140625</v>
      </c>
      <c r="J100" s="0" t="n">
        <v>179673.130271743</v>
      </c>
      <c r="K100" s="0" t="n">
        <v>3.23032263553521</v>
      </c>
      <c r="L100" s="0" t="n">
        <v>215676.521579843</v>
      </c>
      <c r="M100" s="0" t="n">
        <v>2.83355712890625</v>
      </c>
      <c r="N100" s="0" t="n">
        <v>251681.920305938</v>
      </c>
      <c r="O100" s="0" t="n">
        <v>3.23497733684496</v>
      </c>
      <c r="P100" s="0" t="n">
        <v>287685.347615038</v>
      </c>
      <c r="Q100" s="0" t="n">
        <v>2.83477783203125</v>
      </c>
      <c r="R100" s="0" t="n">
        <v>323690.933344133</v>
      </c>
      <c r="S100" s="0" t="n">
        <v>3.24249267578125</v>
      </c>
      <c r="T100" s="0" t="n">
        <v>359694.392653233</v>
      </c>
      <c r="U100" s="0" t="n">
        <v>2.8326416015625</v>
      </c>
      <c r="W100" s="0" t="n">
        <f aca="false">(1*B100)/3600</f>
        <v>9.90434447620886</v>
      </c>
      <c r="X100" s="0" t="n">
        <f aca="false">(W100/$W$101)*100</f>
        <v>98.9904673295904</v>
      </c>
      <c r="AG100" s="0" t="n">
        <f aca="false">$W$100-1*(D100-$D$2)/3600</f>
        <v>0.00562957415244725</v>
      </c>
      <c r="AH100" s="0" t="n">
        <f aca="false">100-X100</f>
        <v>1.00953267040963</v>
      </c>
    </row>
    <row r="101" customFormat="false" ht="12.8" hidden="false" customHeight="false" outlineLevel="0" collapsed="false">
      <c r="A101" s="1" t="n">
        <v>99</v>
      </c>
      <c r="B101" s="0" t="n">
        <v>36019.2663760601</v>
      </c>
      <c r="C101" s="0" t="n">
        <v>3.22906494140625</v>
      </c>
      <c r="D101" s="0" t="n">
        <v>72022.9617751595</v>
      </c>
      <c r="E101" s="0" t="n">
        <v>2.83599853515625</v>
      </c>
      <c r="F101" s="0" t="n">
        <v>108027.995507256</v>
      </c>
      <c r="G101" s="0" t="n">
        <v>3.23089599609375</v>
      </c>
      <c r="H101" s="0" t="n">
        <v>144031.376814356</v>
      </c>
      <c r="I101" s="0" t="n">
        <v>2.8326416015625</v>
      </c>
      <c r="J101" s="0" t="n">
        <v>180036.756533451</v>
      </c>
      <c r="K101" s="0" t="n">
        <v>3.23455810546875</v>
      </c>
      <c r="L101" s="0" t="n">
        <v>216040.147841551</v>
      </c>
      <c r="M101" s="0" t="n">
        <v>2.82867431640625</v>
      </c>
      <c r="N101" s="0" t="n">
        <v>252045.546567646</v>
      </c>
      <c r="O101" s="0" t="n">
        <v>3.23944091796875</v>
      </c>
      <c r="P101" s="0" t="n">
        <v>288048.973876746</v>
      </c>
      <c r="Q101" s="0" t="n">
        <v>2.82989501953125</v>
      </c>
      <c r="R101" s="0" t="n">
        <v>324054.559605841</v>
      </c>
      <c r="S101" s="0" t="n">
        <v>3.248291015625</v>
      </c>
      <c r="T101" s="0" t="n">
        <v>360058.018914941</v>
      </c>
      <c r="U101" s="0" t="n">
        <v>2.8277587890625</v>
      </c>
      <c r="W101" s="0" t="n">
        <f aca="false">(1*B101)/3600</f>
        <v>10.0053517711278</v>
      </c>
      <c r="X101" s="0" t="n">
        <f aca="false">(W101/$W$101)*100</f>
        <v>100</v>
      </c>
      <c r="AG101" s="0" t="n">
        <f aca="false">$W$100-1*(D101-$D$2)/3600</f>
        <v>-0.0953777207664999</v>
      </c>
      <c r="AH101" s="0" t="n">
        <f aca="false">100-X101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selection pane="topLeft" activeCell="J7" activeCellId="0" sqref="A1:BA174"/>
    </sheetView>
  </sheetViews>
  <sheetFormatPr defaultRowHeight="12.7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LibreOffice/5.1.6.2$Windows_X86_64 LibreOffice_project/07ac168c60a517dba0f0d7bc7540f5afa45f0909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2024-12-18T00:15:55Z</dcterms:created>
  <dc:creator>Mehdi MESTIRI</dc:creator>
  <dc:description/>
  <dc:language>en-US</dc:language>
  <cp:lastModifiedBy/>
  <dcterms:modified xsi:type="dcterms:W3CDTF">2009-08-13T00:57:54Z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