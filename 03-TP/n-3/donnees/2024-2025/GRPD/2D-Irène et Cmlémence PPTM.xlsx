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6e2ca85b2e648f/Bureau/"/>
    </mc:Choice>
  </mc:AlternateContent>
  <xr:revisionPtr revIDLastSave="6" documentId="11_05011887BC67734C6F187B31A10243AC6187A0C6" xr6:coauthVersionLast="47" xr6:coauthVersionMax="47" xr10:uidLastSave="{E1711D86-095E-4AE7-B679-216746C53702}"/>
  <bookViews>
    <workbookView xWindow="-120" yWindow="-120" windowWidth="23280" windowHeight="14880" tabRatio="986" activeTab="1" xr2:uid="{00000000-000D-0000-FFFF-FFFF00000000}"/>
  </bookViews>
  <sheets>
    <sheet name="Sheet1_2" sheetId="1" r:id="rId1"/>
    <sheet name="Sheet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M101" i="2" l="1"/>
  <c r="AN101" i="2" s="1"/>
  <c r="AJ101" i="2"/>
  <c r="AI101" i="2"/>
  <c r="AE101" i="2"/>
  <c r="AF101" i="2" s="1"/>
  <c r="AA101" i="2"/>
  <c r="AB52" i="2" s="1"/>
  <c r="W101" i="2"/>
  <c r="X44" i="2" s="1"/>
  <c r="S101" i="2"/>
  <c r="O101" i="2"/>
  <c r="P101" i="2" s="1"/>
  <c r="K101" i="2"/>
  <c r="L100" i="2" s="1"/>
  <c r="G101" i="2"/>
  <c r="H101" i="2" s="1"/>
  <c r="D101" i="2"/>
  <c r="E97" i="2" s="1"/>
  <c r="AM100" i="2"/>
  <c r="AN100" i="2" s="1"/>
  <c r="AJ100" i="2"/>
  <c r="AI100" i="2"/>
  <c r="AE100" i="2"/>
  <c r="AA100" i="2"/>
  <c r="W100" i="2"/>
  <c r="S100" i="2"/>
  <c r="O100" i="2"/>
  <c r="P100" i="2" s="1"/>
  <c r="K100" i="2"/>
  <c r="G100" i="2"/>
  <c r="D100" i="2"/>
  <c r="AM99" i="2"/>
  <c r="AN99" i="2" s="1"/>
  <c r="AI99" i="2"/>
  <c r="AJ99" i="2" s="1"/>
  <c r="AE99" i="2"/>
  <c r="AA99" i="2"/>
  <c r="AB99" i="2" s="1"/>
  <c r="W99" i="2"/>
  <c r="S99" i="2"/>
  <c r="O99" i="2"/>
  <c r="P99" i="2" s="1"/>
  <c r="L99" i="2"/>
  <c r="K99" i="2"/>
  <c r="G99" i="2"/>
  <c r="D99" i="2"/>
  <c r="E99" i="2" s="1"/>
  <c r="AM98" i="2"/>
  <c r="AN98" i="2" s="1"/>
  <c r="AJ98" i="2"/>
  <c r="AI98" i="2"/>
  <c r="AE98" i="2"/>
  <c r="AA98" i="2"/>
  <c r="W98" i="2"/>
  <c r="S98" i="2"/>
  <c r="T98" i="2" s="1"/>
  <c r="O98" i="2"/>
  <c r="P98" i="2" s="1"/>
  <c r="L98" i="2"/>
  <c r="K98" i="2"/>
  <c r="G98" i="2"/>
  <c r="D98" i="2"/>
  <c r="AM97" i="2"/>
  <c r="AN97" i="2" s="1"/>
  <c r="AI97" i="2"/>
  <c r="AJ97" i="2" s="1"/>
  <c r="AE97" i="2"/>
  <c r="AF97" i="2" s="1"/>
  <c r="AA97" i="2"/>
  <c r="W97" i="2"/>
  <c r="S97" i="2"/>
  <c r="O97" i="2"/>
  <c r="P97" i="2" s="1"/>
  <c r="L97" i="2"/>
  <c r="K97" i="2"/>
  <c r="G97" i="2"/>
  <c r="H97" i="2" s="1"/>
  <c r="D97" i="2"/>
  <c r="AM96" i="2"/>
  <c r="AN96" i="2" s="1"/>
  <c r="AI96" i="2"/>
  <c r="AJ96" i="2" s="1"/>
  <c r="AE96" i="2"/>
  <c r="AF96" i="2" s="1"/>
  <c r="AA96" i="2"/>
  <c r="AB96" i="2" s="1"/>
  <c r="W96" i="2"/>
  <c r="S96" i="2"/>
  <c r="O96" i="2"/>
  <c r="P96" i="2" s="1"/>
  <c r="K96" i="2"/>
  <c r="L96" i="2" s="1"/>
  <c r="G96" i="2"/>
  <c r="H96" i="2" s="1"/>
  <c r="E96" i="2"/>
  <c r="D96" i="2"/>
  <c r="AM95" i="2"/>
  <c r="AN95" i="2" s="1"/>
  <c r="AI95" i="2"/>
  <c r="AJ95" i="2" s="1"/>
  <c r="AE95" i="2"/>
  <c r="AA95" i="2"/>
  <c r="AB95" i="2" s="1"/>
  <c r="W95" i="2"/>
  <c r="S95" i="2"/>
  <c r="O95" i="2"/>
  <c r="P95" i="2" s="1"/>
  <c r="L95" i="2"/>
  <c r="K95" i="2"/>
  <c r="G95" i="2"/>
  <c r="D95" i="2"/>
  <c r="E95" i="2" s="1"/>
  <c r="AM94" i="2"/>
  <c r="AN94" i="2" s="1"/>
  <c r="AI94" i="2"/>
  <c r="AJ94" i="2" s="1"/>
  <c r="AE94" i="2"/>
  <c r="AF94" i="2" s="1"/>
  <c r="AB94" i="2"/>
  <c r="AA94" i="2"/>
  <c r="W94" i="2"/>
  <c r="S94" i="2"/>
  <c r="O94" i="2"/>
  <c r="P94" i="2" s="1"/>
  <c r="K94" i="2"/>
  <c r="L94" i="2" s="1"/>
  <c r="G94" i="2"/>
  <c r="H94" i="2" s="1"/>
  <c r="E94" i="2"/>
  <c r="D94" i="2"/>
  <c r="AM93" i="2"/>
  <c r="AN93" i="2" s="1"/>
  <c r="AJ93" i="2"/>
  <c r="AI93" i="2"/>
  <c r="AE93" i="2"/>
  <c r="AA93" i="2"/>
  <c r="AB93" i="2" s="1"/>
  <c r="W93" i="2"/>
  <c r="S93" i="2"/>
  <c r="O93" i="2"/>
  <c r="P93" i="2" s="1"/>
  <c r="K93" i="2"/>
  <c r="L93" i="2" s="1"/>
  <c r="G93" i="2"/>
  <c r="H93" i="2" s="1"/>
  <c r="D93" i="2"/>
  <c r="E93" i="2" s="1"/>
  <c r="AM92" i="2"/>
  <c r="AN92" i="2" s="1"/>
  <c r="AJ92" i="2"/>
  <c r="AI92" i="2"/>
  <c r="AE92" i="2"/>
  <c r="AA92" i="2"/>
  <c r="W92" i="2"/>
  <c r="S92" i="2"/>
  <c r="O92" i="2"/>
  <c r="P92" i="2" s="1"/>
  <c r="K92" i="2"/>
  <c r="G92" i="2"/>
  <c r="D92" i="2"/>
  <c r="E92" i="2" s="1"/>
  <c r="AM91" i="2"/>
  <c r="AN91" i="2" s="1"/>
  <c r="AI91" i="2"/>
  <c r="AJ91" i="2" s="1"/>
  <c r="AE91" i="2"/>
  <c r="AA91" i="2"/>
  <c r="W91" i="2"/>
  <c r="S91" i="2"/>
  <c r="O91" i="2"/>
  <c r="P91" i="2" s="1"/>
  <c r="L91" i="2"/>
  <c r="K91" i="2"/>
  <c r="G91" i="2"/>
  <c r="D91" i="2"/>
  <c r="AM90" i="2"/>
  <c r="AN90" i="2" s="1"/>
  <c r="AI90" i="2"/>
  <c r="AJ90" i="2" s="1"/>
  <c r="AE90" i="2"/>
  <c r="AF90" i="2" s="1"/>
  <c r="AA90" i="2"/>
  <c r="AB90" i="2" s="1"/>
  <c r="W90" i="2"/>
  <c r="S90" i="2"/>
  <c r="O90" i="2"/>
  <c r="P90" i="2" s="1"/>
  <c r="K90" i="2"/>
  <c r="L90" i="2" s="1"/>
  <c r="G90" i="2"/>
  <c r="D90" i="2"/>
  <c r="E90" i="2" s="1"/>
  <c r="AM89" i="2"/>
  <c r="AN89" i="2" s="1"/>
  <c r="AJ89" i="2"/>
  <c r="AI89" i="2"/>
  <c r="AE89" i="2"/>
  <c r="AA89" i="2"/>
  <c r="W89" i="2"/>
  <c r="S89" i="2"/>
  <c r="O89" i="2"/>
  <c r="P89" i="2" s="1"/>
  <c r="L89" i="2"/>
  <c r="K89" i="2"/>
  <c r="G89" i="2"/>
  <c r="D89" i="2"/>
  <c r="AM88" i="2"/>
  <c r="AN88" i="2" s="1"/>
  <c r="AI88" i="2"/>
  <c r="AJ88" i="2" s="1"/>
  <c r="AE88" i="2"/>
  <c r="AF88" i="2" s="1"/>
  <c r="AB88" i="2"/>
  <c r="AA88" i="2"/>
  <c r="W88" i="2"/>
  <c r="S88" i="2"/>
  <c r="O88" i="2"/>
  <c r="P88" i="2" s="1"/>
  <c r="K88" i="2"/>
  <c r="L88" i="2" s="1"/>
  <c r="G88" i="2"/>
  <c r="H88" i="2" s="1"/>
  <c r="E88" i="2"/>
  <c r="D88" i="2"/>
  <c r="AM87" i="2"/>
  <c r="AN87" i="2" s="1"/>
  <c r="AI87" i="2"/>
  <c r="AJ87" i="2" s="1"/>
  <c r="AE87" i="2"/>
  <c r="AF87" i="2" s="1"/>
  <c r="AA87" i="2"/>
  <c r="AB87" i="2" s="1"/>
  <c r="W87" i="2"/>
  <c r="S87" i="2"/>
  <c r="O87" i="2"/>
  <c r="P87" i="2" s="1"/>
  <c r="K87" i="2"/>
  <c r="L87" i="2" s="1"/>
  <c r="G87" i="2"/>
  <c r="H87" i="2" s="1"/>
  <c r="D87" i="2"/>
  <c r="E87" i="2" s="1"/>
  <c r="AM86" i="2"/>
  <c r="AN86" i="2" s="1"/>
  <c r="AI86" i="2"/>
  <c r="AJ86" i="2" s="1"/>
  <c r="AE86" i="2"/>
  <c r="AA86" i="2"/>
  <c r="AB86" i="2" s="1"/>
  <c r="W86" i="2"/>
  <c r="S86" i="2"/>
  <c r="O86" i="2"/>
  <c r="P86" i="2" s="1"/>
  <c r="K86" i="2"/>
  <c r="L86" i="2" s="1"/>
  <c r="G86" i="2"/>
  <c r="D86" i="2"/>
  <c r="E86" i="2" s="1"/>
  <c r="AM85" i="2"/>
  <c r="AN85" i="2" s="1"/>
  <c r="AI85" i="2"/>
  <c r="AJ85" i="2" s="1"/>
  <c r="AE85" i="2"/>
  <c r="AA85" i="2"/>
  <c r="AB85" i="2" s="1"/>
  <c r="W85" i="2"/>
  <c r="S85" i="2"/>
  <c r="O85" i="2"/>
  <c r="P85" i="2" s="1"/>
  <c r="K85" i="2"/>
  <c r="L85" i="2" s="1"/>
  <c r="G85" i="2"/>
  <c r="H85" i="2" s="1"/>
  <c r="D85" i="2"/>
  <c r="E85" i="2" s="1"/>
  <c r="AM84" i="2"/>
  <c r="AN84" i="2" s="1"/>
  <c r="AJ84" i="2"/>
  <c r="AI84" i="2"/>
  <c r="AE84" i="2"/>
  <c r="AA84" i="2"/>
  <c r="AB84" i="2" s="1"/>
  <c r="W84" i="2"/>
  <c r="S84" i="2"/>
  <c r="O84" i="2"/>
  <c r="P84" i="2" s="1"/>
  <c r="K84" i="2"/>
  <c r="L84" i="2" s="1"/>
  <c r="G84" i="2"/>
  <c r="D84" i="2"/>
  <c r="E84" i="2" s="1"/>
  <c r="AM83" i="2"/>
  <c r="AN83" i="2" s="1"/>
  <c r="AI83" i="2"/>
  <c r="AJ83" i="2" s="1"/>
  <c r="AE83" i="2"/>
  <c r="AA83" i="2"/>
  <c r="W83" i="2"/>
  <c r="S83" i="2"/>
  <c r="O83" i="2"/>
  <c r="P83" i="2" s="1"/>
  <c r="L83" i="2"/>
  <c r="K83" i="2"/>
  <c r="G83" i="2"/>
  <c r="D83" i="2"/>
  <c r="AM82" i="2"/>
  <c r="AN82" i="2" s="1"/>
  <c r="AI82" i="2"/>
  <c r="AJ82" i="2" s="1"/>
  <c r="AE82" i="2"/>
  <c r="AF82" i="2" s="1"/>
  <c r="AA82" i="2"/>
  <c r="AB82" i="2" s="1"/>
  <c r="W82" i="2"/>
  <c r="S82" i="2"/>
  <c r="O82" i="2"/>
  <c r="P82" i="2" s="1"/>
  <c r="K82" i="2"/>
  <c r="L82" i="2" s="1"/>
  <c r="G82" i="2"/>
  <c r="D82" i="2"/>
  <c r="E82" i="2" s="1"/>
  <c r="AM81" i="2"/>
  <c r="AN81" i="2" s="1"/>
  <c r="AJ81" i="2"/>
  <c r="AI81" i="2"/>
  <c r="AE81" i="2"/>
  <c r="AA81" i="2"/>
  <c r="W81" i="2"/>
  <c r="S81" i="2"/>
  <c r="O81" i="2"/>
  <c r="P81" i="2" s="1"/>
  <c r="L81" i="2"/>
  <c r="K81" i="2"/>
  <c r="G81" i="2"/>
  <c r="H81" i="2" s="1"/>
  <c r="D81" i="2"/>
  <c r="AM80" i="2"/>
  <c r="AN80" i="2" s="1"/>
  <c r="AI80" i="2"/>
  <c r="AJ80" i="2" s="1"/>
  <c r="AE80" i="2"/>
  <c r="AF80" i="2" s="1"/>
  <c r="AA80" i="2"/>
  <c r="W80" i="2"/>
  <c r="S80" i="2"/>
  <c r="O80" i="2"/>
  <c r="P80" i="2" s="1"/>
  <c r="K80" i="2"/>
  <c r="L80" i="2" s="1"/>
  <c r="G80" i="2"/>
  <c r="H80" i="2" s="1"/>
  <c r="D80" i="2"/>
  <c r="AM79" i="2"/>
  <c r="AN79" i="2" s="1"/>
  <c r="AI79" i="2"/>
  <c r="AJ79" i="2" s="1"/>
  <c r="AE79" i="2"/>
  <c r="AF79" i="2" s="1"/>
  <c r="AA79" i="2"/>
  <c r="AB79" i="2" s="1"/>
  <c r="W79" i="2"/>
  <c r="X79" i="2" s="1"/>
  <c r="S79" i="2"/>
  <c r="O79" i="2"/>
  <c r="P79" i="2" s="1"/>
  <c r="K79" i="2"/>
  <c r="L79" i="2" s="1"/>
  <c r="G79" i="2"/>
  <c r="H79" i="2" s="1"/>
  <c r="D79" i="2"/>
  <c r="E79" i="2" s="1"/>
  <c r="AM78" i="2"/>
  <c r="AN78" i="2" s="1"/>
  <c r="AI78" i="2"/>
  <c r="AJ78" i="2" s="1"/>
  <c r="AE78" i="2"/>
  <c r="AA78" i="2"/>
  <c r="AB78" i="2" s="1"/>
  <c r="W78" i="2"/>
  <c r="S78" i="2"/>
  <c r="O78" i="2"/>
  <c r="P78" i="2" s="1"/>
  <c r="K78" i="2"/>
  <c r="L78" i="2" s="1"/>
  <c r="G78" i="2"/>
  <c r="D78" i="2"/>
  <c r="E78" i="2" s="1"/>
  <c r="AM77" i="2"/>
  <c r="AN77" i="2" s="1"/>
  <c r="AI77" i="2"/>
  <c r="AJ77" i="2" s="1"/>
  <c r="AE77" i="2"/>
  <c r="AF77" i="2" s="1"/>
  <c r="AB77" i="2"/>
  <c r="AA77" i="2"/>
  <c r="W77" i="2"/>
  <c r="S77" i="2"/>
  <c r="O77" i="2"/>
  <c r="P77" i="2" s="1"/>
  <c r="K77" i="2"/>
  <c r="L77" i="2" s="1"/>
  <c r="G77" i="2"/>
  <c r="H77" i="2" s="1"/>
  <c r="E77" i="2"/>
  <c r="D77" i="2"/>
  <c r="AM76" i="2"/>
  <c r="AN76" i="2" s="1"/>
  <c r="AJ76" i="2"/>
  <c r="AI76" i="2"/>
  <c r="AE76" i="2"/>
  <c r="AB76" i="2"/>
  <c r="AA76" i="2"/>
  <c r="W76" i="2"/>
  <c r="S76" i="2"/>
  <c r="O76" i="2"/>
  <c r="P76" i="2" s="1"/>
  <c r="K76" i="2"/>
  <c r="L76" i="2" s="1"/>
  <c r="G76" i="2"/>
  <c r="H76" i="2" s="1"/>
  <c r="D76" i="2"/>
  <c r="E76" i="2" s="1"/>
  <c r="AM75" i="2"/>
  <c r="AN75" i="2" s="1"/>
  <c r="AJ75" i="2"/>
  <c r="AI75" i="2"/>
  <c r="AE75" i="2"/>
  <c r="AA75" i="2"/>
  <c r="W75" i="2"/>
  <c r="S75" i="2"/>
  <c r="O75" i="2"/>
  <c r="P75" i="2" s="1"/>
  <c r="L75" i="2"/>
  <c r="K75" i="2"/>
  <c r="G75" i="2"/>
  <c r="D75" i="2"/>
  <c r="E75" i="2" s="1"/>
  <c r="AM74" i="2"/>
  <c r="AN74" i="2" s="1"/>
  <c r="AI74" i="2"/>
  <c r="AJ74" i="2" s="1"/>
  <c r="AE74" i="2"/>
  <c r="AA74" i="2"/>
  <c r="W74" i="2"/>
  <c r="S74" i="2"/>
  <c r="O74" i="2"/>
  <c r="P74" i="2" s="1"/>
  <c r="K74" i="2"/>
  <c r="L74" i="2" s="1"/>
  <c r="G74" i="2"/>
  <c r="D74" i="2"/>
  <c r="AM73" i="2"/>
  <c r="AN73" i="2" s="1"/>
  <c r="AI73" i="2"/>
  <c r="AJ73" i="2" s="1"/>
  <c r="AE73" i="2"/>
  <c r="AF73" i="2" s="1"/>
  <c r="AB73" i="2"/>
  <c r="AA73" i="2"/>
  <c r="W73" i="2"/>
  <c r="S73" i="2"/>
  <c r="O73" i="2"/>
  <c r="P73" i="2" s="1"/>
  <c r="K73" i="2"/>
  <c r="L73" i="2" s="1"/>
  <c r="G73" i="2"/>
  <c r="H73" i="2" s="1"/>
  <c r="D73" i="2"/>
  <c r="E73" i="2" s="1"/>
  <c r="AM72" i="2"/>
  <c r="AN72" i="2" s="1"/>
  <c r="AI72" i="2"/>
  <c r="AJ72" i="2" s="1"/>
  <c r="AE72" i="2"/>
  <c r="AF72" i="2" s="1"/>
  <c r="AA72" i="2"/>
  <c r="AB72" i="2" s="1"/>
  <c r="W72" i="2"/>
  <c r="S72" i="2"/>
  <c r="O72" i="2"/>
  <c r="P72" i="2" s="1"/>
  <c r="K72" i="2"/>
  <c r="L72" i="2" s="1"/>
  <c r="G72" i="2"/>
  <c r="H72" i="2" s="1"/>
  <c r="E72" i="2"/>
  <c r="D72" i="2"/>
  <c r="AM71" i="2"/>
  <c r="AN71" i="2" s="1"/>
  <c r="AJ71" i="2"/>
  <c r="AI71" i="2"/>
  <c r="AE71" i="2"/>
  <c r="AA71" i="2"/>
  <c r="AB71" i="2" s="1"/>
  <c r="W71" i="2"/>
  <c r="S71" i="2"/>
  <c r="O71" i="2"/>
  <c r="P71" i="2" s="1"/>
  <c r="L71" i="2"/>
  <c r="K71" i="2"/>
  <c r="G71" i="2"/>
  <c r="D71" i="2"/>
  <c r="E71" i="2" s="1"/>
  <c r="AM70" i="2"/>
  <c r="AN70" i="2" s="1"/>
  <c r="AI70" i="2"/>
  <c r="AJ70" i="2" s="1"/>
  <c r="AE70" i="2"/>
  <c r="AF70" i="2" s="1"/>
  <c r="AB70" i="2"/>
  <c r="AA70" i="2"/>
  <c r="W70" i="2"/>
  <c r="S70" i="2"/>
  <c r="O70" i="2"/>
  <c r="P70" i="2" s="1"/>
  <c r="K70" i="2"/>
  <c r="L70" i="2" s="1"/>
  <c r="G70" i="2"/>
  <c r="H70" i="2" s="1"/>
  <c r="D70" i="2"/>
  <c r="AM69" i="2"/>
  <c r="AN69" i="2" s="1"/>
  <c r="AI69" i="2"/>
  <c r="AJ69" i="2" s="1"/>
  <c r="AE69" i="2"/>
  <c r="AF69" i="2" s="1"/>
  <c r="AA69" i="2"/>
  <c r="AB69" i="2" s="1"/>
  <c r="W69" i="2"/>
  <c r="S69" i="2"/>
  <c r="O69" i="2"/>
  <c r="P69" i="2" s="1"/>
  <c r="K69" i="2"/>
  <c r="L69" i="2" s="1"/>
  <c r="G69" i="2"/>
  <c r="H69" i="2" s="1"/>
  <c r="E69" i="2"/>
  <c r="D69" i="2"/>
  <c r="AM68" i="2"/>
  <c r="AN68" i="2" s="1"/>
  <c r="AJ68" i="2"/>
  <c r="AI68" i="2"/>
  <c r="AE68" i="2"/>
  <c r="AA68" i="2"/>
  <c r="AB68" i="2" s="1"/>
  <c r="W68" i="2"/>
  <c r="S68" i="2"/>
  <c r="O68" i="2"/>
  <c r="P68" i="2" s="1"/>
  <c r="K68" i="2"/>
  <c r="L68" i="2" s="1"/>
  <c r="G68" i="2"/>
  <c r="H68" i="2" s="1"/>
  <c r="D68" i="2"/>
  <c r="E68" i="2" s="1"/>
  <c r="AN67" i="2"/>
  <c r="AM67" i="2"/>
  <c r="AJ67" i="2"/>
  <c r="AI67" i="2"/>
  <c r="AE67" i="2"/>
  <c r="AA67" i="2"/>
  <c r="AB67" i="2" s="1"/>
  <c r="W67" i="2"/>
  <c r="X67" i="2" s="1"/>
  <c r="S67" i="2"/>
  <c r="O67" i="2"/>
  <c r="P67" i="2" s="1"/>
  <c r="K67" i="2"/>
  <c r="L67" i="2" s="1"/>
  <c r="G67" i="2"/>
  <c r="H67" i="2" s="1"/>
  <c r="E67" i="2"/>
  <c r="D67" i="2"/>
  <c r="AM66" i="2"/>
  <c r="AN66" i="2" s="1"/>
  <c r="AJ66" i="2"/>
  <c r="AI66" i="2"/>
  <c r="AE66" i="2"/>
  <c r="AF66" i="2" s="1"/>
  <c r="AB66" i="2"/>
  <c r="AA66" i="2"/>
  <c r="W66" i="2"/>
  <c r="S66" i="2"/>
  <c r="O66" i="2"/>
  <c r="P66" i="2" s="1"/>
  <c r="L66" i="2"/>
  <c r="K66" i="2"/>
  <c r="G66" i="2"/>
  <c r="H66" i="2" s="1"/>
  <c r="D66" i="2"/>
  <c r="E66" i="2" s="1"/>
  <c r="AN65" i="2"/>
  <c r="AM65" i="2"/>
  <c r="AJ65" i="2"/>
  <c r="AI65" i="2"/>
  <c r="AE65" i="2"/>
  <c r="AF65" i="2" s="1"/>
  <c r="AB65" i="2"/>
  <c r="AA65" i="2"/>
  <c r="W65" i="2"/>
  <c r="S65" i="2"/>
  <c r="O65" i="2"/>
  <c r="P65" i="2" s="1"/>
  <c r="K65" i="2"/>
  <c r="L65" i="2" s="1"/>
  <c r="G65" i="2"/>
  <c r="H65" i="2" s="1"/>
  <c r="D65" i="2"/>
  <c r="AM64" i="2"/>
  <c r="AN64" i="2" s="1"/>
  <c r="AI64" i="2"/>
  <c r="AJ64" i="2" s="1"/>
  <c r="AE64" i="2"/>
  <c r="AF64" i="2" s="1"/>
  <c r="AB64" i="2"/>
  <c r="AA64" i="2"/>
  <c r="W64" i="2"/>
  <c r="S64" i="2"/>
  <c r="O64" i="2"/>
  <c r="P64" i="2" s="1"/>
  <c r="L64" i="2"/>
  <c r="K64" i="2"/>
  <c r="G64" i="2"/>
  <c r="D64" i="2"/>
  <c r="E64" i="2" s="1"/>
  <c r="AM63" i="2"/>
  <c r="AN63" i="2" s="1"/>
  <c r="AJ63" i="2"/>
  <c r="AI63" i="2"/>
  <c r="AE63" i="2"/>
  <c r="AF63" i="2" s="1"/>
  <c r="AA63" i="2"/>
  <c r="W63" i="2"/>
  <c r="X63" i="2" s="1"/>
  <c r="S63" i="2"/>
  <c r="O63" i="2"/>
  <c r="P63" i="2" s="1"/>
  <c r="L63" i="2"/>
  <c r="K63" i="2"/>
  <c r="G63" i="2"/>
  <c r="H63" i="2" s="1"/>
  <c r="D63" i="2"/>
  <c r="AM62" i="2"/>
  <c r="AN62" i="2" s="1"/>
  <c r="AI62" i="2"/>
  <c r="AJ62" i="2" s="1"/>
  <c r="AE62" i="2"/>
  <c r="AA62" i="2"/>
  <c r="W62" i="2"/>
  <c r="S62" i="2"/>
  <c r="P62" i="2"/>
  <c r="O62" i="2"/>
  <c r="L62" i="2"/>
  <c r="K62" i="2"/>
  <c r="G62" i="2"/>
  <c r="H62" i="2" s="1"/>
  <c r="D62" i="2"/>
  <c r="E62" i="2" s="1"/>
  <c r="AM61" i="2"/>
  <c r="AN61" i="2" s="1"/>
  <c r="AJ61" i="2"/>
  <c r="AI61" i="2"/>
  <c r="AE61" i="2"/>
  <c r="AA61" i="2"/>
  <c r="AB61" i="2" s="1"/>
  <c r="W61" i="2"/>
  <c r="X61" i="2" s="1"/>
  <c r="S61" i="2"/>
  <c r="O61" i="2"/>
  <c r="P61" i="2" s="1"/>
  <c r="K61" i="2"/>
  <c r="L61" i="2" s="1"/>
  <c r="G61" i="2"/>
  <c r="H61" i="2" s="1"/>
  <c r="E61" i="2"/>
  <c r="D61" i="2"/>
  <c r="AM60" i="2"/>
  <c r="AN60" i="2" s="1"/>
  <c r="AI60" i="2"/>
  <c r="AJ60" i="2" s="1"/>
  <c r="AE60" i="2"/>
  <c r="AF60" i="2" s="1"/>
  <c r="AB60" i="2"/>
  <c r="AA60" i="2"/>
  <c r="W60" i="2"/>
  <c r="X60" i="2" s="1"/>
  <c r="S60" i="2"/>
  <c r="O60" i="2"/>
  <c r="P60" i="2" s="1"/>
  <c r="L60" i="2"/>
  <c r="K60" i="2"/>
  <c r="G60" i="2"/>
  <c r="H60" i="2" s="1"/>
  <c r="E60" i="2"/>
  <c r="D60" i="2"/>
  <c r="AM59" i="2"/>
  <c r="AN59" i="2" s="1"/>
  <c r="AJ59" i="2"/>
  <c r="AI59" i="2"/>
  <c r="AE59" i="2"/>
  <c r="AF59" i="2" s="1"/>
  <c r="AA59" i="2"/>
  <c r="AB59" i="2" s="1"/>
  <c r="W59" i="2"/>
  <c r="S59" i="2"/>
  <c r="O59" i="2"/>
  <c r="P59" i="2" s="1"/>
  <c r="L59" i="2"/>
  <c r="K59" i="2"/>
  <c r="H59" i="2"/>
  <c r="G59" i="2"/>
  <c r="D59" i="2"/>
  <c r="AM58" i="2"/>
  <c r="AN58" i="2" s="1"/>
  <c r="AI58" i="2"/>
  <c r="AJ58" i="2" s="1"/>
  <c r="AE58" i="2"/>
  <c r="AF58" i="2" s="1"/>
  <c r="AA58" i="2"/>
  <c r="W58" i="2"/>
  <c r="S58" i="2"/>
  <c r="O58" i="2"/>
  <c r="P58" i="2" s="1"/>
  <c r="L58" i="2"/>
  <c r="K58" i="2"/>
  <c r="G58" i="2"/>
  <c r="D58" i="2"/>
  <c r="E58" i="2" s="1"/>
  <c r="AM57" i="2"/>
  <c r="AN57" i="2" s="1"/>
  <c r="AJ57" i="2"/>
  <c r="AI57" i="2"/>
  <c r="AE57" i="2"/>
  <c r="AA57" i="2"/>
  <c r="AB57" i="2" s="1"/>
  <c r="W57" i="2"/>
  <c r="X57" i="2" s="1"/>
  <c r="S57" i="2"/>
  <c r="O57" i="2"/>
  <c r="P57" i="2" s="1"/>
  <c r="L57" i="2"/>
  <c r="K57" i="2"/>
  <c r="G57" i="2"/>
  <c r="H57" i="2" s="1"/>
  <c r="E57" i="2"/>
  <c r="D57" i="2"/>
  <c r="AM56" i="2"/>
  <c r="AN56" i="2" s="1"/>
  <c r="AJ56" i="2"/>
  <c r="AI56" i="2"/>
  <c r="AE56" i="2"/>
  <c r="AF56" i="2" s="1"/>
  <c r="AA56" i="2"/>
  <c r="W56" i="2"/>
  <c r="S56" i="2"/>
  <c r="T56" i="2" s="1"/>
  <c r="P56" i="2"/>
  <c r="O56" i="2"/>
  <c r="L56" i="2"/>
  <c r="K56" i="2"/>
  <c r="G56" i="2"/>
  <c r="H56" i="2" s="1"/>
  <c r="D56" i="2"/>
  <c r="E56" i="2" s="1"/>
  <c r="AN55" i="2"/>
  <c r="AM55" i="2"/>
  <c r="AJ55" i="2"/>
  <c r="AI55" i="2"/>
  <c r="AE55" i="2"/>
  <c r="AF55" i="2" s="1"/>
  <c r="AA55" i="2"/>
  <c r="AB55" i="2" s="1"/>
  <c r="W55" i="2"/>
  <c r="X55" i="2" s="1"/>
  <c r="S55" i="2"/>
  <c r="O55" i="2"/>
  <c r="P55" i="2" s="1"/>
  <c r="K55" i="2"/>
  <c r="L55" i="2" s="1"/>
  <c r="H55" i="2"/>
  <c r="G55" i="2"/>
  <c r="E55" i="2"/>
  <c r="D55" i="2"/>
  <c r="AM54" i="2"/>
  <c r="AN54" i="2" s="1"/>
  <c r="AI54" i="2"/>
  <c r="AJ54" i="2" s="1"/>
  <c r="AE54" i="2"/>
  <c r="AF54" i="2" s="1"/>
  <c r="AB54" i="2"/>
  <c r="AA54" i="2"/>
  <c r="W54" i="2"/>
  <c r="S54" i="2"/>
  <c r="O54" i="2"/>
  <c r="P54" i="2" s="1"/>
  <c r="L54" i="2"/>
  <c r="K54" i="2"/>
  <c r="G54" i="2"/>
  <c r="H54" i="2" s="1"/>
  <c r="D54" i="2"/>
  <c r="AM53" i="2"/>
  <c r="AN53" i="2" s="1"/>
  <c r="AJ53" i="2"/>
  <c r="AI53" i="2"/>
  <c r="AE53" i="2"/>
  <c r="AF53" i="2" s="1"/>
  <c r="AB53" i="2"/>
  <c r="AA53" i="2"/>
  <c r="W53" i="2"/>
  <c r="X53" i="2" s="1"/>
  <c r="S53" i="2"/>
  <c r="O53" i="2"/>
  <c r="P53" i="2" s="1"/>
  <c r="K53" i="2"/>
  <c r="L53" i="2" s="1"/>
  <c r="H53" i="2"/>
  <c r="G53" i="2"/>
  <c r="D53" i="2"/>
  <c r="AM52" i="2"/>
  <c r="AN52" i="2" s="1"/>
  <c r="AI52" i="2"/>
  <c r="AJ52" i="2" s="1"/>
  <c r="AF52" i="2"/>
  <c r="AE52" i="2"/>
  <c r="AA52" i="2"/>
  <c r="W52" i="2"/>
  <c r="S52" i="2"/>
  <c r="P52" i="2"/>
  <c r="O52" i="2"/>
  <c r="L52" i="2"/>
  <c r="K52" i="2"/>
  <c r="G52" i="2"/>
  <c r="H52" i="2" s="1"/>
  <c r="D52" i="2"/>
  <c r="E52" i="2" s="1"/>
  <c r="AM51" i="2"/>
  <c r="AN51" i="2" s="1"/>
  <c r="AJ51" i="2"/>
  <c r="AI51" i="2"/>
  <c r="AE51" i="2"/>
  <c r="AA51" i="2"/>
  <c r="AB51" i="2" s="1"/>
  <c r="W51" i="2"/>
  <c r="S51" i="2"/>
  <c r="T51" i="2" s="1"/>
  <c r="O51" i="2"/>
  <c r="P51" i="2" s="1"/>
  <c r="K51" i="2"/>
  <c r="L51" i="2" s="1"/>
  <c r="G51" i="2"/>
  <c r="H51" i="2" s="1"/>
  <c r="E51" i="2"/>
  <c r="D51" i="2"/>
  <c r="AM50" i="2"/>
  <c r="AN50" i="2" s="1"/>
  <c r="AJ50" i="2"/>
  <c r="AI50" i="2"/>
  <c r="AE50" i="2"/>
  <c r="AF50" i="2" s="1"/>
  <c r="AA50" i="2"/>
  <c r="AB50" i="2" s="1"/>
  <c r="W50" i="2"/>
  <c r="S50" i="2"/>
  <c r="O50" i="2"/>
  <c r="P50" i="2" s="1"/>
  <c r="K50" i="2"/>
  <c r="L50" i="2" s="1"/>
  <c r="G50" i="2"/>
  <c r="H50" i="2" s="1"/>
  <c r="D50" i="2"/>
  <c r="E50" i="2" s="1"/>
  <c r="AN49" i="2"/>
  <c r="AM49" i="2"/>
  <c r="AI49" i="2"/>
  <c r="AJ49" i="2" s="1"/>
  <c r="AE49" i="2"/>
  <c r="AF49" i="2" s="1"/>
  <c r="AA49" i="2"/>
  <c r="AB49" i="2" s="1"/>
  <c r="X49" i="2"/>
  <c r="W49" i="2"/>
  <c r="S49" i="2"/>
  <c r="O49" i="2"/>
  <c r="P49" i="2" s="1"/>
  <c r="K49" i="2"/>
  <c r="L49" i="2" s="1"/>
  <c r="G49" i="2"/>
  <c r="H49" i="2" s="1"/>
  <c r="D49" i="2"/>
  <c r="AM48" i="2"/>
  <c r="AN48" i="2" s="1"/>
  <c r="AI48" i="2"/>
  <c r="AJ48" i="2" s="1"/>
  <c r="AE48" i="2"/>
  <c r="AF48" i="2" s="1"/>
  <c r="AB48" i="2"/>
  <c r="AA48" i="2"/>
  <c r="W48" i="2"/>
  <c r="S48" i="2"/>
  <c r="O48" i="2"/>
  <c r="P48" i="2" s="1"/>
  <c r="L48" i="2"/>
  <c r="K48" i="2"/>
  <c r="G48" i="2"/>
  <c r="H48" i="2" s="1"/>
  <c r="D48" i="2"/>
  <c r="E48" i="2" s="1"/>
  <c r="AM47" i="2"/>
  <c r="AN47" i="2" s="1"/>
  <c r="AI47" i="2"/>
  <c r="AJ47" i="2" s="1"/>
  <c r="AE47" i="2"/>
  <c r="AF47" i="2" s="1"/>
  <c r="AA47" i="2"/>
  <c r="W47" i="2"/>
  <c r="S47" i="2"/>
  <c r="O47" i="2"/>
  <c r="P47" i="2" s="1"/>
  <c r="L47" i="2"/>
  <c r="K47" i="2"/>
  <c r="G47" i="2"/>
  <c r="H47" i="2" s="1"/>
  <c r="D47" i="2"/>
  <c r="E47" i="2" s="1"/>
  <c r="AM46" i="2"/>
  <c r="AN46" i="2" s="1"/>
  <c r="AJ46" i="2"/>
  <c r="AI46" i="2"/>
  <c r="AE46" i="2"/>
  <c r="AF46" i="2" s="1"/>
  <c r="AA46" i="2"/>
  <c r="AB46" i="2" s="1"/>
  <c r="W46" i="2"/>
  <c r="X46" i="2" s="1"/>
  <c r="S46" i="2"/>
  <c r="O46" i="2"/>
  <c r="P46" i="2" s="1"/>
  <c r="K46" i="2"/>
  <c r="L46" i="2" s="1"/>
  <c r="G46" i="2"/>
  <c r="H46" i="2" s="1"/>
  <c r="D46" i="2"/>
  <c r="AM45" i="2"/>
  <c r="AN45" i="2" s="1"/>
  <c r="AI45" i="2"/>
  <c r="AJ45" i="2" s="1"/>
  <c r="AE45" i="2"/>
  <c r="AF45" i="2" s="1"/>
  <c r="AA45" i="2"/>
  <c r="W45" i="2"/>
  <c r="S45" i="2"/>
  <c r="O45" i="2"/>
  <c r="P45" i="2" s="1"/>
  <c r="L45" i="2"/>
  <c r="K45" i="2"/>
  <c r="G45" i="2"/>
  <c r="H45" i="2" s="1"/>
  <c r="D45" i="2"/>
  <c r="E45" i="2" s="1"/>
  <c r="AM44" i="2"/>
  <c r="AN44" i="2" s="1"/>
  <c r="AJ44" i="2"/>
  <c r="AI44" i="2"/>
  <c r="AE44" i="2"/>
  <c r="AF44" i="2" s="1"/>
  <c r="AA44" i="2"/>
  <c r="AB44" i="2" s="1"/>
  <c r="W44" i="2"/>
  <c r="S44" i="2"/>
  <c r="O44" i="2"/>
  <c r="P44" i="2" s="1"/>
  <c r="K44" i="2"/>
  <c r="L44" i="2" s="1"/>
  <c r="G44" i="2"/>
  <c r="H44" i="2" s="1"/>
  <c r="D44" i="2"/>
  <c r="AM43" i="2"/>
  <c r="AN43" i="2" s="1"/>
  <c r="AI43" i="2"/>
  <c r="AJ43" i="2" s="1"/>
  <c r="AE43" i="2"/>
  <c r="AF43" i="2" s="1"/>
  <c r="AA43" i="2"/>
  <c r="W43" i="2"/>
  <c r="X43" i="2" s="1"/>
  <c r="S43" i="2"/>
  <c r="O43" i="2"/>
  <c r="P43" i="2" s="1"/>
  <c r="L43" i="2"/>
  <c r="K43" i="2"/>
  <c r="G43" i="2"/>
  <c r="H43" i="2" s="1"/>
  <c r="D43" i="2"/>
  <c r="E43" i="2" s="1"/>
  <c r="AM42" i="2"/>
  <c r="AN42" i="2" s="1"/>
  <c r="AJ42" i="2"/>
  <c r="AI42" i="2"/>
  <c r="AE42" i="2"/>
  <c r="AF42" i="2" s="1"/>
  <c r="AA42" i="2"/>
  <c r="AB42" i="2" s="1"/>
  <c r="W42" i="2"/>
  <c r="X42" i="2" s="1"/>
  <c r="S42" i="2"/>
  <c r="O42" i="2"/>
  <c r="P42" i="2" s="1"/>
  <c r="L42" i="2"/>
  <c r="K42" i="2"/>
  <c r="G42" i="2"/>
  <c r="H42" i="2" s="1"/>
  <c r="D42" i="2"/>
  <c r="AM41" i="2"/>
  <c r="AN41" i="2" s="1"/>
  <c r="AJ41" i="2"/>
  <c r="AI41" i="2"/>
  <c r="AF41" i="2"/>
  <c r="AE41" i="2"/>
  <c r="AA41" i="2"/>
  <c r="W41" i="2"/>
  <c r="S41" i="2"/>
  <c r="P41" i="2"/>
  <c r="O41" i="2"/>
  <c r="L41" i="2"/>
  <c r="K41" i="2"/>
  <c r="G41" i="2"/>
  <c r="H41" i="2" s="1"/>
  <c r="D41" i="2"/>
  <c r="E41" i="2" s="1"/>
  <c r="AM40" i="2"/>
  <c r="AN40" i="2" s="1"/>
  <c r="AJ40" i="2"/>
  <c r="AI40" i="2"/>
  <c r="AE40" i="2"/>
  <c r="AF40" i="2" s="1"/>
  <c r="AA40" i="2"/>
  <c r="AB40" i="2" s="1"/>
  <c r="W40" i="2"/>
  <c r="X40" i="2" s="1"/>
  <c r="S40" i="2"/>
  <c r="O40" i="2"/>
  <c r="P40" i="2" s="1"/>
  <c r="L40" i="2"/>
  <c r="K40" i="2"/>
  <c r="G40" i="2"/>
  <c r="H40" i="2" s="1"/>
  <c r="D40" i="2"/>
  <c r="AM39" i="2"/>
  <c r="AN39" i="2" s="1"/>
  <c r="AJ39" i="2"/>
  <c r="AI39" i="2"/>
  <c r="AF39" i="2"/>
  <c r="AE39" i="2"/>
  <c r="AA39" i="2"/>
  <c r="W39" i="2"/>
  <c r="S39" i="2"/>
  <c r="P39" i="2"/>
  <c r="O39" i="2"/>
  <c r="L39" i="2"/>
  <c r="K39" i="2"/>
  <c r="G39" i="2"/>
  <c r="H39" i="2" s="1"/>
  <c r="D39" i="2"/>
  <c r="E39" i="2" s="1"/>
  <c r="AM38" i="2"/>
  <c r="AN38" i="2" s="1"/>
  <c r="AJ38" i="2"/>
  <c r="AI38" i="2"/>
  <c r="AE38" i="2"/>
  <c r="AF38" i="2" s="1"/>
  <c r="AA38" i="2"/>
  <c r="AB38" i="2" s="1"/>
  <c r="W38" i="2"/>
  <c r="X38" i="2" s="1"/>
  <c r="S38" i="2"/>
  <c r="O38" i="2"/>
  <c r="P38" i="2" s="1"/>
  <c r="L38" i="2"/>
  <c r="K38" i="2"/>
  <c r="G38" i="2"/>
  <c r="H38" i="2" s="1"/>
  <c r="D38" i="2"/>
  <c r="AM37" i="2"/>
  <c r="AN37" i="2" s="1"/>
  <c r="AJ37" i="2"/>
  <c r="AI37" i="2"/>
  <c r="AF37" i="2"/>
  <c r="AE37" i="2"/>
  <c r="AA37" i="2"/>
  <c r="W37" i="2"/>
  <c r="S37" i="2"/>
  <c r="P37" i="2"/>
  <c r="O37" i="2"/>
  <c r="L37" i="2"/>
  <c r="K37" i="2"/>
  <c r="G37" i="2"/>
  <c r="H37" i="2" s="1"/>
  <c r="D37" i="2"/>
  <c r="E37" i="2" s="1"/>
  <c r="AN36" i="2"/>
  <c r="AM36" i="2"/>
  <c r="AJ36" i="2"/>
  <c r="AI36" i="2"/>
  <c r="AE36" i="2"/>
  <c r="AF36" i="2" s="1"/>
  <c r="AA36" i="2"/>
  <c r="AB36" i="2" s="1"/>
  <c r="W36" i="2"/>
  <c r="X36" i="2" s="1"/>
  <c r="S36" i="2"/>
  <c r="O36" i="2"/>
  <c r="P36" i="2" s="1"/>
  <c r="L36" i="2"/>
  <c r="K36" i="2"/>
  <c r="G36" i="2"/>
  <c r="H36" i="2" s="1"/>
  <c r="D36" i="2"/>
  <c r="AM35" i="2"/>
  <c r="AN35" i="2" s="1"/>
  <c r="AJ35" i="2"/>
  <c r="AI35" i="2"/>
  <c r="AF35" i="2"/>
  <c r="AE35" i="2"/>
  <c r="AA35" i="2"/>
  <c r="W35" i="2"/>
  <c r="S35" i="2"/>
  <c r="P35" i="2"/>
  <c r="O35" i="2"/>
  <c r="L35" i="2"/>
  <c r="K35" i="2"/>
  <c r="G35" i="2"/>
  <c r="H35" i="2" s="1"/>
  <c r="D35" i="2"/>
  <c r="E35" i="2" s="1"/>
  <c r="AM34" i="2"/>
  <c r="AN34" i="2" s="1"/>
  <c r="AJ34" i="2"/>
  <c r="AI34" i="2"/>
  <c r="AE34" i="2"/>
  <c r="AF34" i="2" s="1"/>
  <c r="AA34" i="2"/>
  <c r="AB34" i="2" s="1"/>
  <c r="W34" i="2"/>
  <c r="X34" i="2" s="1"/>
  <c r="S34" i="2"/>
  <c r="O34" i="2"/>
  <c r="P34" i="2" s="1"/>
  <c r="L34" i="2"/>
  <c r="K34" i="2"/>
  <c r="G34" i="2"/>
  <c r="H34" i="2" s="1"/>
  <c r="D34" i="2"/>
  <c r="AM33" i="2"/>
  <c r="AN33" i="2" s="1"/>
  <c r="AJ33" i="2"/>
  <c r="AI33" i="2"/>
  <c r="AF33" i="2"/>
  <c r="AE33" i="2"/>
  <c r="AA33" i="2"/>
  <c r="W33" i="2"/>
  <c r="S33" i="2"/>
  <c r="T33" i="2" s="1"/>
  <c r="P33" i="2"/>
  <c r="O33" i="2"/>
  <c r="L33" i="2"/>
  <c r="K33" i="2"/>
  <c r="G33" i="2"/>
  <c r="H33" i="2" s="1"/>
  <c r="D33" i="2"/>
  <c r="E33" i="2" s="1"/>
  <c r="AM32" i="2"/>
  <c r="AN32" i="2" s="1"/>
  <c r="AJ32" i="2"/>
  <c r="AI32" i="2"/>
  <c r="AE32" i="2"/>
  <c r="AF32" i="2" s="1"/>
  <c r="AA32" i="2"/>
  <c r="AB32" i="2" s="1"/>
  <c r="W32" i="2"/>
  <c r="X32" i="2" s="1"/>
  <c r="S32" i="2"/>
  <c r="O32" i="2"/>
  <c r="P32" i="2" s="1"/>
  <c r="L32" i="2"/>
  <c r="K32" i="2"/>
  <c r="G32" i="2"/>
  <c r="H32" i="2" s="1"/>
  <c r="D32" i="2"/>
  <c r="AM31" i="2"/>
  <c r="AN31" i="2" s="1"/>
  <c r="AJ31" i="2"/>
  <c r="AI31" i="2"/>
  <c r="AF31" i="2"/>
  <c r="AE31" i="2"/>
  <c r="AA31" i="2"/>
  <c r="W31" i="2"/>
  <c r="S31" i="2"/>
  <c r="P31" i="2"/>
  <c r="O31" i="2"/>
  <c r="L31" i="2"/>
  <c r="K31" i="2"/>
  <c r="G31" i="2"/>
  <c r="H31" i="2" s="1"/>
  <c r="D31" i="2"/>
  <c r="E31" i="2" s="1"/>
  <c r="AM30" i="2"/>
  <c r="AN30" i="2" s="1"/>
  <c r="AJ30" i="2"/>
  <c r="AI30" i="2"/>
  <c r="AE30" i="2"/>
  <c r="AF30" i="2" s="1"/>
  <c r="AA30" i="2"/>
  <c r="AB30" i="2" s="1"/>
  <c r="W30" i="2"/>
  <c r="X30" i="2" s="1"/>
  <c r="S30" i="2"/>
  <c r="O30" i="2"/>
  <c r="P30" i="2" s="1"/>
  <c r="K30" i="2"/>
  <c r="L30" i="2" s="1"/>
  <c r="G30" i="2"/>
  <c r="H30" i="2" s="1"/>
  <c r="D30" i="2"/>
  <c r="AM29" i="2"/>
  <c r="AN29" i="2" s="1"/>
  <c r="AJ29" i="2"/>
  <c r="AI29" i="2"/>
  <c r="AF29" i="2"/>
  <c r="AE29" i="2"/>
  <c r="AA29" i="2"/>
  <c r="W29" i="2"/>
  <c r="S29" i="2"/>
  <c r="P29" i="2"/>
  <c r="O29" i="2"/>
  <c r="L29" i="2"/>
  <c r="K29" i="2"/>
  <c r="G29" i="2"/>
  <c r="H29" i="2" s="1"/>
  <c r="D29" i="2"/>
  <c r="E29" i="2" s="1"/>
  <c r="AM28" i="2"/>
  <c r="AN28" i="2" s="1"/>
  <c r="AJ28" i="2"/>
  <c r="AI28" i="2"/>
  <c r="AE28" i="2"/>
  <c r="AF28" i="2" s="1"/>
  <c r="AA28" i="2"/>
  <c r="AB28" i="2" s="1"/>
  <c r="W28" i="2"/>
  <c r="X28" i="2" s="1"/>
  <c r="S28" i="2"/>
  <c r="O28" i="2"/>
  <c r="P28" i="2" s="1"/>
  <c r="L28" i="2"/>
  <c r="K28" i="2"/>
  <c r="G28" i="2"/>
  <c r="H28" i="2" s="1"/>
  <c r="D28" i="2"/>
  <c r="AM27" i="2"/>
  <c r="AN27" i="2" s="1"/>
  <c r="AJ27" i="2"/>
  <c r="AI27" i="2"/>
  <c r="AF27" i="2"/>
  <c r="AE27" i="2"/>
  <c r="AA27" i="2"/>
  <c r="W27" i="2"/>
  <c r="S27" i="2"/>
  <c r="T27" i="2" s="1"/>
  <c r="P27" i="2"/>
  <c r="O27" i="2"/>
  <c r="L27" i="2"/>
  <c r="K27" i="2"/>
  <c r="G27" i="2"/>
  <c r="H27" i="2" s="1"/>
  <c r="D27" i="2"/>
  <c r="E27" i="2" s="1"/>
  <c r="AM26" i="2"/>
  <c r="AN26" i="2" s="1"/>
  <c r="AJ26" i="2"/>
  <c r="AI26" i="2"/>
  <c r="AE26" i="2"/>
  <c r="AF26" i="2" s="1"/>
  <c r="AA26" i="2"/>
  <c r="AB26" i="2" s="1"/>
  <c r="W26" i="2"/>
  <c r="X26" i="2" s="1"/>
  <c r="S26" i="2"/>
  <c r="O26" i="2"/>
  <c r="P26" i="2" s="1"/>
  <c r="L26" i="2"/>
  <c r="K26" i="2"/>
  <c r="G26" i="2"/>
  <c r="H26" i="2" s="1"/>
  <c r="D26" i="2"/>
  <c r="AM25" i="2"/>
  <c r="AN25" i="2" s="1"/>
  <c r="AJ25" i="2"/>
  <c r="AI25" i="2"/>
  <c r="AF25" i="2"/>
  <c r="AE25" i="2"/>
  <c r="AA25" i="2"/>
  <c r="W25" i="2"/>
  <c r="S25" i="2"/>
  <c r="P25" i="2"/>
  <c r="O25" i="2"/>
  <c r="L25" i="2"/>
  <c r="K25" i="2"/>
  <c r="G25" i="2"/>
  <c r="H25" i="2" s="1"/>
  <c r="D25" i="2"/>
  <c r="E25" i="2" s="1"/>
  <c r="AM24" i="2"/>
  <c r="AN24" i="2" s="1"/>
  <c r="AJ24" i="2"/>
  <c r="AI24" i="2"/>
  <c r="AE24" i="2"/>
  <c r="AF24" i="2" s="1"/>
  <c r="AA24" i="2"/>
  <c r="AB24" i="2" s="1"/>
  <c r="W24" i="2"/>
  <c r="X24" i="2" s="1"/>
  <c r="S24" i="2"/>
  <c r="O24" i="2"/>
  <c r="P24" i="2" s="1"/>
  <c r="L24" i="2"/>
  <c r="K24" i="2"/>
  <c r="G24" i="2"/>
  <c r="H24" i="2" s="1"/>
  <c r="D24" i="2"/>
  <c r="AM23" i="2"/>
  <c r="AN23" i="2" s="1"/>
  <c r="AJ23" i="2"/>
  <c r="AI23" i="2"/>
  <c r="AF23" i="2"/>
  <c r="AE23" i="2"/>
  <c r="AA23" i="2"/>
  <c r="W23" i="2"/>
  <c r="S23" i="2"/>
  <c r="P23" i="2"/>
  <c r="O23" i="2"/>
  <c r="L23" i="2"/>
  <c r="K23" i="2"/>
  <c r="G23" i="2"/>
  <c r="H23" i="2" s="1"/>
  <c r="D23" i="2"/>
  <c r="E23" i="2" s="1"/>
  <c r="AM22" i="2"/>
  <c r="AN22" i="2" s="1"/>
  <c r="AJ22" i="2"/>
  <c r="AI22" i="2"/>
  <c r="AE22" i="2"/>
  <c r="AF22" i="2" s="1"/>
  <c r="AA22" i="2"/>
  <c r="AB22" i="2" s="1"/>
  <c r="W22" i="2"/>
  <c r="X22" i="2" s="1"/>
  <c r="S22" i="2"/>
  <c r="O22" i="2"/>
  <c r="P22" i="2" s="1"/>
  <c r="L22" i="2"/>
  <c r="K22" i="2"/>
  <c r="G22" i="2"/>
  <c r="H22" i="2" s="1"/>
  <c r="D22" i="2"/>
  <c r="AM21" i="2"/>
  <c r="AN21" i="2" s="1"/>
  <c r="AJ21" i="2"/>
  <c r="AI21" i="2"/>
  <c r="AF21" i="2"/>
  <c r="AE21" i="2"/>
  <c r="AA21" i="2"/>
  <c r="W21" i="2"/>
  <c r="S21" i="2"/>
  <c r="T21" i="2" s="1"/>
  <c r="P21" i="2"/>
  <c r="O21" i="2"/>
  <c r="L21" i="2"/>
  <c r="K21" i="2"/>
  <c r="G21" i="2"/>
  <c r="H21" i="2" s="1"/>
  <c r="D21" i="2"/>
  <c r="E21" i="2" s="1"/>
  <c r="AM20" i="2"/>
  <c r="AN20" i="2" s="1"/>
  <c r="AJ20" i="2"/>
  <c r="AI20" i="2"/>
  <c r="AE20" i="2"/>
  <c r="AF20" i="2" s="1"/>
  <c r="AA20" i="2"/>
  <c r="AB20" i="2" s="1"/>
  <c r="W20" i="2"/>
  <c r="X20" i="2" s="1"/>
  <c r="S20" i="2"/>
  <c r="O20" i="2"/>
  <c r="P20" i="2" s="1"/>
  <c r="L20" i="2"/>
  <c r="K20" i="2"/>
  <c r="G20" i="2"/>
  <c r="H20" i="2" s="1"/>
  <c r="D20" i="2"/>
  <c r="AM19" i="2"/>
  <c r="AN19" i="2" s="1"/>
  <c r="AJ19" i="2"/>
  <c r="AI19" i="2"/>
  <c r="AF19" i="2"/>
  <c r="AE19" i="2"/>
  <c r="AA19" i="2"/>
  <c r="W19" i="2"/>
  <c r="S19" i="2"/>
  <c r="P19" i="2"/>
  <c r="O19" i="2"/>
  <c r="L19" i="2"/>
  <c r="K19" i="2"/>
  <c r="G19" i="2"/>
  <c r="H19" i="2" s="1"/>
  <c r="D19" i="2"/>
  <c r="E19" i="2" s="1"/>
  <c r="AM18" i="2"/>
  <c r="AN18" i="2" s="1"/>
  <c r="AJ18" i="2"/>
  <c r="AI18" i="2"/>
  <c r="AE18" i="2"/>
  <c r="AF18" i="2" s="1"/>
  <c r="AA18" i="2"/>
  <c r="AB18" i="2" s="1"/>
  <c r="W18" i="2"/>
  <c r="X18" i="2" s="1"/>
  <c r="S18" i="2"/>
  <c r="O18" i="2"/>
  <c r="P18" i="2" s="1"/>
  <c r="L18" i="2"/>
  <c r="K18" i="2"/>
  <c r="G18" i="2"/>
  <c r="H18" i="2" s="1"/>
  <c r="D18" i="2"/>
  <c r="AM17" i="2"/>
  <c r="AN17" i="2" s="1"/>
  <c r="AJ17" i="2"/>
  <c r="AI17" i="2"/>
  <c r="AF17" i="2"/>
  <c r="AE17" i="2"/>
  <c r="AA17" i="2"/>
  <c r="W17" i="2"/>
  <c r="S17" i="2"/>
  <c r="P17" i="2"/>
  <c r="O17" i="2"/>
  <c r="L17" i="2"/>
  <c r="K17" i="2"/>
  <c r="G17" i="2"/>
  <c r="H17" i="2" s="1"/>
  <c r="D17" i="2"/>
  <c r="E17" i="2" s="1"/>
  <c r="AM16" i="2"/>
  <c r="AN16" i="2" s="1"/>
  <c r="AJ16" i="2"/>
  <c r="AI16" i="2"/>
  <c r="AE16" i="2"/>
  <c r="AF16" i="2" s="1"/>
  <c r="AA16" i="2"/>
  <c r="AB16" i="2" s="1"/>
  <c r="W16" i="2"/>
  <c r="X16" i="2" s="1"/>
  <c r="S16" i="2"/>
  <c r="O16" i="2"/>
  <c r="P16" i="2" s="1"/>
  <c r="K16" i="2"/>
  <c r="L16" i="2" s="1"/>
  <c r="G16" i="2"/>
  <c r="H16" i="2" s="1"/>
  <c r="D16" i="2"/>
  <c r="AM15" i="2"/>
  <c r="AN15" i="2" s="1"/>
  <c r="AJ15" i="2"/>
  <c r="AI15" i="2"/>
  <c r="AE15" i="2"/>
  <c r="AF15" i="2" s="1"/>
  <c r="AA15" i="2"/>
  <c r="W15" i="2"/>
  <c r="S15" i="2"/>
  <c r="T15" i="2" s="1"/>
  <c r="P15" i="2"/>
  <c r="O15" i="2"/>
  <c r="L15" i="2"/>
  <c r="K15" i="2"/>
  <c r="G15" i="2"/>
  <c r="H15" i="2" s="1"/>
  <c r="D15" i="2"/>
  <c r="E15" i="2" s="1"/>
  <c r="AM14" i="2"/>
  <c r="AN14" i="2" s="1"/>
  <c r="AJ14" i="2"/>
  <c r="AI14" i="2"/>
  <c r="AE14" i="2"/>
  <c r="AF14" i="2" s="1"/>
  <c r="AA14" i="2"/>
  <c r="AB14" i="2" s="1"/>
  <c r="W14" i="2"/>
  <c r="X14" i="2" s="1"/>
  <c r="S14" i="2"/>
  <c r="O14" i="2"/>
  <c r="P14" i="2" s="1"/>
  <c r="K14" i="2"/>
  <c r="L14" i="2" s="1"/>
  <c r="G14" i="2"/>
  <c r="H14" i="2" s="1"/>
  <c r="D14" i="2"/>
  <c r="AM13" i="2"/>
  <c r="AN13" i="2" s="1"/>
  <c r="AJ13" i="2"/>
  <c r="AI13" i="2"/>
  <c r="AE13" i="2"/>
  <c r="AF13" i="2" s="1"/>
  <c r="AA13" i="2"/>
  <c r="W13" i="2"/>
  <c r="S13" i="2"/>
  <c r="T13" i="2" s="1"/>
  <c r="P13" i="2"/>
  <c r="O13" i="2"/>
  <c r="L13" i="2"/>
  <c r="K13" i="2"/>
  <c r="G13" i="2"/>
  <c r="H13" i="2" s="1"/>
  <c r="D13" i="2"/>
  <c r="E13" i="2" s="1"/>
  <c r="AM12" i="2"/>
  <c r="AN12" i="2" s="1"/>
  <c r="AJ12" i="2"/>
  <c r="AI12" i="2"/>
  <c r="AE12" i="2"/>
  <c r="AF12" i="2" s="1"/>
  <c r="AA12" i="2"/>
  <c r="AB12" i="2" s="1"/>
  <c r="W12" i="2"/>
  <c r="X12" i="2" s="1"/>
  <c r="S12" i="2"/>
  <c r="O12" i="2"/>
  <c r="P12" i="2" s="1"/>
  <c r="K12" i="2"/>
  <c r="L12" i="2" s="1"/>
  <c r="G12" i="2"/>
  <c r="H12" i="2" s="1"/>
  <c r="D12" i="2"/>
  <c r="AM11" i="2"/>
  <c r="AN11" i="2" s="1"/>
  <c r="AJ11" i="2"/>
  <c r="AI11" i="2"/>
  <c r="AE11" i="2"/>
  <c r="AF11" i="2" s="1"/>
  <c r="AA11" i="2"/>
  <c r="W11" i="2"/>
  <c r="S11" i="2"/>
  <c r="P11" i="2"/>
  <c r="O11" i="2"/>
  <c r="L11" i="2"/>
  <c r="K11" i="2"/>
  <c r="G11" i="2"/>
  <c r="H11" i="2" s="1"/>
  <c r="D11" i="2"/>
  <c r="E11" i="2" s="1"/>
  <c r="AN10" i="2"/>
  <c r="AM10" i="2"/>
  <c r="AJ10" i="2"/>
  <c r="AI10" i="2"/>
  <c r="AE10" i="2"/>
  <c r="AF10" i="2" s="1"/>
  <c r="AA10" i="2"/>
  <c r="AB10" i="2" s="1"/>
  <c r="W10" i="2"/>
  <c r="X10" i="2" s="1"/>
  <c r="S10" i="2"/>
  <c r="O10" i="2"/>
  <c r="P10" i="2" s="1"/>
  <c r="K10" i="2"/>
  <c r="L10" i="2" s="1"/>
  <c r="G10" i="2"/>
  <c r="H10" i="2" s="1"/>
  <c r="D10" i="2"/>
  <c r="AM9" i="2"/>
  <c r="AN9" i="2" s="1"/>
  <c r="AJ9" i="2"/>
  <c r="AI9" i="2"/>
  <c r="AE9" i="2"/>
  <c r="AF9" i="2" s="1"/>
  <c r="AA9" i="2"/>
  <c r="W9" i="2"/>
  <c r="S9" i="2"/>
  <c r="P9" i="2"/>
  <c r="O9" i="2"/>
  <c r="L9" i="2"/>
  <c r="K9" i="2"/>
  <c r="G9" i="2"/>
  <c r="H9" i="2" s="1"/>
  <c r="D9" i="2"/>
  <c r="E9" i="2" s="1"/>
  <c r="AM8" i="2"/>
  <c r="AN8" i="2" s="1"/>
  <c r="AJ8" i="2"/>
  <c r="AI8" i="2"/>
  <c r="AE8" i="2"/>
  <c r="AF8" i="2" s="1"/>
  <c r="AA8" i="2"/>
  <c r="AB8" i="2" s="1"/>
  <c r="W8" i="2"/>
  <c r="X8" i="2" s="1"/>
  <c r="S8" i="2"/>
  <c r="O8" i="2"/>
  <c r="P8" i="2" s="1"/>
  <c r="K8" i="2"/>
  <c r="L8" i="2" s="1"/>
  <c r="G8" i="2"/>
  <c r="H8" i="2" s="1"/>
  <c r="D8" i="2"/>
  <c r="AM7" i="2"/>
  <c r="AN7" i="2" s="1"/>
  <c r="AJ7" i="2"/>
  <c r="AI7" i="2"/>
  <c r="AE7" i="2"/>
  <c r="AF7" i="2" s="1"/>
  <c r="AA7" i="2"/>
  <c r="W7" i="2"/>
  <c r="S7" i="2"/>
  <c r="P7" i="2"/>
  <c r="O7" i="2"/>
  <c r="L7" i="2"/>
  <c r="K7" i="2"/>
  <c r="G7" i="2"/>
  <c r="H7" i="2" s="1"/>
  <c r="D7" i="2"/>
  <c r="E7" i="2" s="1"/>
  <c r="AM6" i="2"/>
  <c r="AN6" i="2" s="1"/>
  <c r="AJ6" i="2"/>
  <c r="AI6" i="2"/>
  <c r="AE6" i="2"/>
  <c r="AF6" i="2" s="1"/>
  <c r="AA6" i="2"/>
  <c r="AB6" i="2" s="1"/>
  <c r="W6" i="2"/>
  <c r="X6" i="2" s="1"/>
  <c r="S6" i="2"/>
  <c r="O6" i="2"/>
  <c r="P6" i="2" s="1"/>
  <c r="K6" i="2"/>
  <c r="L6" i="2" s="1"/>
  <c r="G6" i="2"/>
  <c r="H6" i="2" s="1"/>
  <c r="D6" i="2"/>
  <c r="AM5" i="2"/>
  <c r="AN5" i="2" s="1"/>
  <c r="AJ5" i="2"/>
  <c r="AI5" i="2"/>
  <c r="AE5" i="2"/>
  <c r="AF5" i="2" s="1"/>
  <c r="AA5" i="2"/>
  <c r="W5" i="2"/>
  <c r="S5" i="2"/>
  <c r="P5" i="2"/>
  <c r="O5" i="2"/>
  <c r="L5" i="2"/>
  <c r="K5" i="2"/>
  <c r="G5" i="2"/>
  <c r="H5" i="2" s="1"/>
  <c r="D5" i="2"/>
  <c r="E5" i="2" s="1"/>
  <c r="AM4" i="2"/>
  <c r="AN4" i="2" s="1"/>
  <c r="AJ4" i="2"/>
  <c r="AI4" i="2"/>
  <c r="AE4" i="2"/>
  <c r="AF4" i="2" s="1"/>
  <c r="AA4" i="2"/>
  <c r="AB4" i="2" s="1"/>
  <c r="W4" i="2"/>
  <c r="X4" i="2" s="1"/>
  <c r="S4" i="2"/>
  <c r="O4" i="2"/>
  <c r="P4" i="2" s="1"/>
  <c r="K4" i="2"/>
  <c r="L4" i="2" s="1"/>
  <c r="G4" i="2"/>
  <c r="H4" i="2" s="1"/>
  <c r="D4" i="2"/>
  <c r="AM3" i="2"/>
  <c r="AN3" i="2" s="1"/>
  <c r="AJ3" i="2"/>
  <c r="AI3" i="2"/>
  <c r="AE3" i="2"/>
  <c r="AF3" i="2" s="1"/>
  <c r="AA3" i="2"/>
  <c r="W3" i="2"/>
  <c r="S3" i="2"/>
  <c r="P3" i="2"/>
  <c r="O3" i="2"/>
  <c r="L3" i="2"/>
  <c r="K3" i="2"/>
  <c r="G3" i="2"/>
  <c r="H3" i="2" s="1"/>
  <c r="D3" i="2"/>
  <c r="E3" i="2" s="1"/>
  <c r="AM2" i="2"/>
  <c r="AN2" i="2" s="1"/>
  <c r="AJ2" i="2"/>
  <c r="AI2" i="2"/>
  <c r="AE2" i="2"/>
  <c r="AF2" i="2" s="1"/>
  <c r="AA2" i="2"/>
  <c r="AB2" i="2" s="1"/>
  <c r="W2" i="2"/>
  <c r="X2" i="2" s="1"/>
  <c r="S2" i="2"/>
  <c r="O2" i="2"/>
  <c r="P2" i="2" s="1"/>
  <c r="K2" i="2"/>
  <c r="L2" i="2" s="1"/>
  <c r="G2" i="2"/>
  <c r="H2" i="2" s="1"/>
  <c r="E2" i="2"/>
  <c r="D2" i="2"/>
  <c r="T39" i="2" l="1"/>
  <c r="T3" i="2"/>
  <c r="T23" i="2"/>
  <c r="T29" i="2"/>
  <c r="T7" i="2"/>
  <c r="T19" i="2"/>
  <c r="T9" i="2"/>
  <c r="T25" i="2"/>
  <c r="T31" i="2"/>
  <c r="T43" i="2"/>
  <c r="T73" i="2"/>
  <c r="T84" i="2"/>
  <c r="T95" i="2"/>
  <c r="T99" i="2"/>
  <c r="T93" i="2"/>
  <c r="T82" i="2"/>
  <c r="T76" i="2"/>
  <c r="T69" i="2"/>
  <c r="T60" i="2"/>
  <c r="T55" i="2"/>
  <c r="T46" i="2"/>
  <c r="T44" i="2"/>
  <c r="T42" i="2"/>
  <c r="T40" i="2"/>
  <c r="T38" i="2"/>
  <c r="T36" i="2"/>
  <c r="T34" i="2"/>
  <c r="T32" i="2"/>
  <c r="T30" i="2"/>
  <c r="T28" i="2"/>
  <c r="T26" i="2"/>
  <c r="T24" i="2"/>
  <c r="T22" i="2"/>
  <c r="T20" i="2"/>
  <c r="T18" i="2"/>
  <c r="T16" i="2"/>
  <c r="T14" i="2"/>
  <c r="T12" i="2"/>
  <c r="T10" i="2"/>
  <c r="T8" i="2"/>
  <c r="T6" i="2"/>
  <c r="T4" i="2"/>
  <c r="T86" i="2"/>
  <c r="T65" i="2"/>
  <c r="T53" i="2"/>
  <c r="T63" i="2"/>
  <c r="T94" i="2"/>
  <c r="T70" i="2"/>
  <c r="T59" i="2"/>
  <c r="T90" i="2"/>
  <c r="T66" i="2"/>
  <c r="T78" i="2"/>
  <c r="T68" i="2"/>
  <c r="T50" i="2"/>
  <c r="T67" i="2"/>
  <c r="T61" i="2"/>
  <c r="T101" i="2"/>
  <c r="T17" i="2"/>
  <c r="T5" i="2"/>
  <c r="T35" i="2"/>
  <c r="T75" i="2"/>
  <c r="T92" i="2"/>
  <c r="T41" i="2"/>
  <c r="T62" i="2"/>
  <c r="T11" i="2"/>
  <c r="T37" i="2"/>
  <c r="T57" i="2"/>
  <c r="T48" i="2"/>
  <c r="T71" i="2"/>
  <c r="X5" i="2"/>
  <c r="X13" i="2"/>
  <c r="X17" i="2"/>
  <c r="X19" i="2"/>
  <c r="X21" i="2"/>
  <c r="X23" i="2"/>
  <c r="X33" i="2"/>
  <c r="T45" i="2"/>
  <c r="X56" i="2"/>
  <c r="X69" i="2"/>
  <c r="X51" i="2"/>
  <c r="X66" i="2"/>
  <c r="T58" i="2"/>
  <c r="T64" i="2"/>
  <c r="X87" i="2"/>
  <c r="T100" i="2"/>
  <c r="X15" i="2"/>
  <c r="X25" i="2"/>
  <c r="X27" i="2"/>
  <c r="X29" i="2"/>
  <c r="T87" i="2"/>
  <c r="T47" i="2"/>
  <c r="T72" i="2"/>
  <c r="X76" i="2"/>
  <c r="T52" i="2"/>
  <c r="T81" i="2"/>
  <c r="T77" i="2"/>
  <c r="T91" i="2"/>
  <c r="X101" i="2"/>
  <c r="X59" i="2"/>
  <c r="X3" i="2"/>
  <c r="X7" i="2"/>
  <c r="X9" i="2"/>
  <c r="X11" i="2"/>
  <c r="X31" i="2"/>
  <c r="X35" i="2"/>
  <c r="X37" i="2"/>
  <c r="X39" i="2"/>
  <c r="X41" i="2"/>
  <c r="T89" i="2"/>
  <c r="X93" i="2"/>
  <c r="X45" i="2"/>
  <c r="T54" i="2"/>
  <c r="X65" i="2"/>
  <c r="T74" i="2"/>
  <c r="X84" i="2"/>
  <c r="X99" i="2"/>
  <c r="X47" i="2"/>
  <c r="T49" i="2"/>
  <c r="X50" i="2"/>
  <c r="X68" i="2"/>
  <c r="T83" i="2"/>
  <c r="T85" i="2"/>
  <c r="E53" i="2"/>
  <c r="X58" i="2"/>
  <c r="AF61" i="2"/>
  <c r="AB62" i="2"/>
  <c r="X74" i="2"/>
  <c r="AF81" i="2"/>
  <c r="X83" i="2"/>
  <c r="T88" i="2"/>
  <c r="E89" i="2"/>
  <c r="AB89" i="2"/>
  <c r="AF98" i="2"/>
  <c r="X100" i="2"/>
  <c r="X62" i="2"/>
  <c r="X71" i="2"/>
  <c r="X75" i="2"/>
  <c r="X52" i="2"/>
  <c r="E63" i="2"/>
  <c r="AB75" i="2"/>
  <c r="E81" i="2"/>
  <c r="T97" i="2"/>
  <c r="X48" i="2"/>
  <c r="AF51" i="2"/>
  <c r="H58" i="2"/>
  <c r="E59" i="2"/>
  <c r="X64" i="2"/>
  <c r="AF67" i="2"/>
  <c r="X70" i="2"/>
  <c r="H71" i="2"/>
  <c r="AF71" i="2"/>
  <c r="E74" i="2"/>
  <c r="AB74" i="2"/>
  <c r="X77" i="2"/>
  <c r="H78" i="2"/>
  <c r="AF78" i="2"/>
  <c r="E83" i="2"/>
  <c r="AB83" i="2"/>
  <c r="H89" i="2"/>
  <c r="AF89" i="2"/>
  <c r="X91" i="2"/>
  <c r="X94" i="2"/>
  <c r="H95" i="2"/>
  <c r="AF95" i="2"/>
  <c r="AB100" i="2"/>
  <c r="X78" i="2"/>
  <c r="X92" i="2"/>
  <c r="X95" i="2"/>
  <c r="AB101" i="2"/>
  <c r="AB98" i="2"/>
  <c r="AB56" i="2"/>
  <c r="T80" i="2"/>
  <c r="AB81" i="2"/>
  <c r="X86" i="2"/>
  <c r="AB92" i="2"/>
  <c r="E98" i="2"/>
  <c r="E101" i="2"/>
  <c r="AB3" i="2"/>
  <c r="E4" i="2"/>
  <c r="AB5" i="2"/>
  <c r="E6" i="2"/>
  <c r="AB7" i="2"/>
  <c r="E8" i="2"/>
  <c r="AB9" i="2"/>
  <c r="E10" i="2"/>
  <c r="AB11" i="2"/>
  <c r="E12" i="2"/>
  <c r="AB13" i="2"/>
  <c r="E14" i="2"/>
  <c r="AB15" i="2"/>
  <c r="E16" i="2"/>
  <c r="AB17" i="2"/>
  <c r="E18" i="2"/>
  <c r="AB19" i="2"/>
  <c r="E20" i="2"/>
  <c r="AB21" i="2"/>
  <c r="E22" i="2"/>
  <c r="AB23" i="2"/>
  <c r="E24" i="2"/>
  <c r="AB25" i="2"/>
  <c r="E26" i="2"/>
  <c r="AB27" i="2"/>
  <c r="E28" i="2"/>
  <c r="AB29" i="2"/>
  <c r="E30" i="2"/>
  <c r="AB31" i="2"/>
  <c r="E32" i="2"/>
  <c r="AB33" i="2"/>
  <c r="E34" i="2"/>
  <c r="AB35" i="2"/>
  <c r="E36" i="2"/>
  <c r="AB37" i="2"/>
  <c r="E38" i="2"/>
  <c r="AB39" i="2"/>
  <c r="E40" i="2"/>
  <c r="AB41" i="2"/>
  <c r="E42" i="2"/>
  <c r="AB43" i="2"/>
  <c r="E44" i="2"/>
  <c r="AB45" i="2"/>
  <c r="E46" i="2"/>
  <c r="AB47" i="2"/>
  <c r="E49" i="2"/>
  <c r="E54" i="2"/>
  <c r="X54" i="2"/>
  <c r="AF57" i="2"/>
  <c r="AB58" i="2"/>
  <c r="AF62" i="2"/>
  <c r="AB63" i="2"/>
  <c r="H64" i="2"/>
  <c r="E65" i="2"/>
  <c r="E70" i="2"/>
  <c r="AF74" i="2"/>
  <c r="T79" i="2"/>
  <c r="E80" i="2"/>
  <c r="AB80" i="2"/>
  <c r="X85" i="2"/>
  <c r="H86" i="2"/>
  <c r="AF86" i="2"/>
  <c r="E91" i="2"/>
  <c r="AB91" i="2"/>
  <c r="T96" i="2"/>
  <c r="AB97" i="2"/>
  <c r="E100" i="2"/>
  <c r="X82" i="2"/>
  <c r="H84" i="2"/>
  <c r="AF85" i="2"/>
  <c r="X90" i="2"/>
  <c r="H92" i="2"/>
  <c r="AF93" i="2"/>
  <c r="X98" i="2"/>
  <c r="H100" i="2"/>
  <c r="AF68" i="2"/>
  <c r="X73" i="2"/>
  <c r="H75" i="2"/>
  <c r="AF76" i="2"/>
  <c r="X81" i="2"/>
  <c r="H83" i="2"/>
  <c r="AF84" i="2"/>
  <c r="X89" i="2"/>
  <c r="H91" i="2"/>
  <c r="AF92" i="2"/>
  <c r="X97" i="2"/>
  <c r="H99" i="2"/>
  <c r="AF100" i="2"/>
  <c r="L101" i="2"/>
  <c r="X72" i="2"/>
  <c r="H74" i="2"/>
  <c r="AF75" i="2"/>
  <c r="X80" i="2"/>
  <c r="H82" i="2"/>
  <c r="AF83" i="2"/>
  <c r="X88" i="2"/>
  <c r="H90" i="2"/>
  <c r="AF91" i="2"/>
  <c r="L92" i="2"/>
  <c r="X96" i="2"/>
  <c r="H98" i="2"/>
  <c r="AF99" i="2"/>
</calcChain>
</file>

<file path=xl/sharedStrings.xml><?xml version="1.0" encoding="utf-8"?>
<sst xmlns="http://schemas.openxmlformats.org/spreadsheetml/2006/main" count="56" uniqueCount="26">
  <si>
    <t>t_C1 (s)</t>
  </si>
  <si>
    <t>U_C1 (V)</t>
  </si>
  <si>
    <t>t_D1 (s)</t>
  </si>
  <si>
    <t>U_D1 (V)</t>
  </si>
  <si>
    <t>t_C2 (s)</t>
  </si>
  <si>
    <t>U_C2 (V)</t>
  </si>
  <si>
    <t>t_D2 (s)</t>
  </si>
  <si>
    <t>U_D2 (V)</t>
  </si>
  <si>
    <t>t_C3 (s)</t>
  </si>
  <si>
    <t>U_C3</t>
  </si>
  <si>
    <t>t_D3</t>
  </si>
  <si>
    <t>U_D3</t>
  </si>
  <si>
    <t>t_C4</t>
  </si>
  <si>
    <t>U_C4</t>
  </si>
  <si>
    <t>t_D4</t>
  </si>
  <si>
    <t>U_D4</t>
  </si>
  <si>
    <t>t_C5</t>
  </si>
  <si>
    <t>U_C5</t>
  </si>
  <si>
    <t>t_D5</t>
  </si>
  <si>
    <t>U_D5</t>
  </si>
  <si>
    <t>t C1 (h)</t>
  </si>
  <si>
    <t>soc</t>
  </si>
  <si>
    <t>tD1 (h)</t>
  </si>
  <si>
    <t>t C2 (h)</t>
  </si>
  <si>
    <t>t D2 (h)</t>
  </si>
  <si>
    <t>t C3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</si>
</sst>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3333"/>
        <bgColor rgb="FFFF420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Protection="0">
      <alignment horizontal="center" vertical="top"/>
    </xf>
  </cellStyleXfs>
  <cellXfs count="4">
    <xf numFmtId="0" fontId="0" fillId="0" borderId="0" xfId="0"/>
    <xf numFmtId="0" fontId="1" fillId="0" borderId="1" xfId="1" applyProtection="1">
      <alignment horizontal="center" vertical="top"/>
    </xf>
    <xf numFmtId="0" fontId="1" fillId="2" borderId="1" xfId="1" applyFill="1" applyProtection="1">
      <alignment horizontal="center" vertical="top"/>
    </xf>
    <xf numFmtId="0" fontId="1" fillId="0" borderId="1" xfId="1" applyFill="1" applyProtection="1">
      <alignment horizontal="center" vertical="top"/>
    </xf>
  </cellXfs>
  <cellStyles count="2">
    <cellStyle name="Normal" xfId="0" builtinId="0"/>
    <cellStyle name="Texte explicatif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7E0021"/>
      <rgbColor rgb="FF0E6202"/>
      <rgbColor rgb="FF000080"/>
      <rgbColor rgb="FFC99C00"/>
      <rgbColor rgb="FF8E03A3"/>
      <rgbColor rgb="FF004586"/>
      <rgbColor rgb="FFBFBFBF"/>
      <rgbColor rgb="FF808080"/>
      <rgbColor rgb="FF9999FF"/>
      <rgbColor rgb="FFC9211E"/>
      <rgbColor rgb="FFF2F2F2"/>
      <rgbColor rgb="FFCCFFFF"/>
      <rgbColor rgb="FF550262"/>
      <rgbColor rgb="FFFF8080"/>
      <rgbColor rgb="FF0369A3"/>
      <rgbColor rgb="FFCCCCCC"/>
      <rgbColor rgb="FF000080"/>
      <rgbColor rgb="FFFF00FF"/>
      <rgbColor rgb="FFFFFF00"/>
      <rgbColor rgb="FF00FFFF"/>
      <rgbColor rgb="FF800080"/>
      <rgbColor rgb="FF800000"/>
      <rgbColor rgb="FF18A303"/>
      <rgbColor rgb="FF0000FF"/>
      <rgbColor rgb="FF00CCFF"/>
      <rgbColor rgb="FFCCFFFF"/>
      <rgbColor rgb="FFD9D9D9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595959"/>
      <rgbColor rgb="FFB3B3B3"/>
      <rgbColor rgb="FF023F62"/>
      <rgbColor rgb="FF579D1C"/>
      <rgbColor rgb="FF003300"/>
      <rgbColor rgb="FF314004"/>
      <rgbColor rgb="FFA33E03"/>
      <rgbColor rgb="FF993366"/>
      <rgbColor rgb="FF4B1F6F"/>
      <rgbColor rgb="FF62250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18">
                <a:solidFill>
                  <a:srgbClr val="808080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r>
              <a:rPr sz="1400" b="0" strike="noStrike" spc="18">
                <a:solidFill>
                  <a:srgbClr val="808080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rPr>
              <a:t>f(t)=U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383.89272865702702</c:v>
                </c:pt>
                <c:pt idx="2">
                  <c:v>747.51899036522104</c:v>
                </c:pt>
                <c:pt idx="3">
                  <c:v>1111.1452520734199</c:v>
                </c:pt>
                <c:pt idx="4">
                  <c:v>1474.7715137816101</c:v>
                </c:pt>
                <c:pt idx="5">
                  <c:v>1838.3977754898101</c:v>
                </c:pt>
                <c:pt idx="6">
                  <c:v>2202.0240371979999</c:v>
                </c:pt>
                <c:pt idx="7">
                  <c:v>2565.6502989061901</c:v>
                </c:pt>
                <c:pt idx="8">
                  <c:v>2929.2765606143898</c:v>
                </c:pt>
                <c:pt idx="9">
                  <c:v>3292.9028223225801</c:v>
                </c:pt>
                <c:pt idx="10">
                  <c:v>3656.5290840307798</c:v>
                </c:pt>
                <c:pt idx="11">
                  <c:v>4020.15534573897</c:v>
                </c:pt>
                <c:pt idx="12">
                  <c:v>4383.7816074471702</c:v>
                </c:pt>
                <c:pt idx="13">
                  <c:v>4747.4078691553595</c:v>
                </c:pt>
                <c:pt idx="14">
                  <c:v>5111.0341308635598</c:v>
                </c:pt>
                <c:pt idx="15">
                  <c:v>5474.66039257175</c:v>
                </c:pt>
                <c:pt idx="16">
                  <c:v>5838.2866542799502</c:v>
                </c:pt>
                <c:pt idx="17">
                  <c:v>6201.9129159881404</c:v>
                </c:pt>
                <c:pt idx="18">
                  <c:v>6565.5391776963397</c:v>
                </c:pt>
                <c:pt idx="19">
                  <c:v>6929.1654394045299</c:v>
                </c:pt>
                <c:pt idx="20">
                  <c:v>7292.7917011127302</c:v>
                </c:pt>
                <c:pt idx="21">
                  <c:v>7656.4179628209204</c:v>
                </c:pt>
                <c:pt idx="22">
                  <c:v>8020.0442245291097</c:v>
                </c:pt>
                <c:pt idx="23">
                  <c:v>8383.6704862373099</c:v>
                </c:pt>
                <c:pt idx="24">
                  <c:v>8747.2967479455001</c:v>
                </c:pt>
                <c:pt idx="25">
                  <c:v>9110.9230096536994</c:v>
                </c:pt>
                <c:pt idx="26">
                  <c:v>9474.5492713618896</c:v>
                </c:pt>
                <c:pt idx="27">
                  <c:v>9838.1755330700908</c:v>
                </c:pt>
                <c:pt idx="28">
                  <c:v>10201.801794778299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11292.680579902901</c:v>
                </c:pt>
                <c:pt idx="32">
                  <c:v>11656.3068416111</c:v>
                </c:pt>
                <c:pt idx="33">
                  <c:v>12019.933103319299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13110.811888443801</c:v>
                </c:pt>
                <c:pt idx="37">
                  <c:v>13474.438150152</c:v>
                </c:pt>
                <c:pt idx="38">
                  <c:v>13838.064411860199</c:v>
                </c:pt>
                <c:pt idx="39">
                  <c:v>14201.690673568401</c:v>
                </c:pt>
                <c:pt idx="40">
                  <c:v>14565.3169352766</c:v>
                </c:pt>
                <c:pt idx="41">
                  <c:v>14928.943196984799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16019.821982109401</c:v>
                </c:pt>
                <c:pt idx="45">
                  <c:v>16383.4482438176</c:v>
                </c:pt>
                <c:pt idx="46">
                  <c:v>16747.074505525801</c:v>
                </c:pt>
                <c:pt idx="47">
                  <c:v>17110.700767234001</c:v>
                </c:pt>
                <c:pt idx="48">
                  <c:v>17474.3270289422</c:v>
                </c:pt>
                <c:pt idx="49">
                  <c:v>17837.953290650399</c:v>
                </c:pt>
                <c:pt idx="50">
                  <c:v>18201.579552358598</c:v>
                </c:pt>
                <c:pt idx="51">
                  <c:v>18565.205814066801</c:v>
                </c:pt>
                <c:pt idx="52">
                  <c:v>18928.832075775001</c:v>
                </c:pt>
                <c:pt idx="53">
                  <c:v>19292.4583374832</c:v>
                </c:pt>
                <c:pt idx="54">
                  <c:v>19656.084599191301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20746.963384315899</c:v>
                </c:pt>
                <c:pt idx="58">
                  <c:v>21110.589646024098</c:v>
                </c:pt>
                <c:pt idx="59">
                  <c:v>21474.215907732301</c:v>
                </c:pt>
                <c:pt idx="60">
                  <c:v>21837.842169440501</c:v>
                </c:pt>
                <c:pt idx="61">
                  <c:v>22201.4684311487</c:v>
                </c:pt>
                <c:pt idx="62">
                  <c:v>22565.094692856899</c:v>
                </c:pt>
                <c:pt idx="63">
                  <c:v>22928.720954565099</c:v>
                </c:pt>
                <c:pt idx="64">
                  <c:v>23292.347216273301</c:v>
                </c:pt>
                <c:pt idx="65">
                  <c:v>23655.973477981501</c:v>
                </c:pt>
                <c:pt idx="66">
                  <c:v>24019.5997396897</c:v>
                </c:pt>
                <c:pt idx="67">
                  <c:v>24383.226001397899</c:v>
                </c:pt>
                <c:pt idx="68">
                  <c:v>24746.852263106099</c:v>
                </c:pt>
                <c:pt idx="69">
                  <c:v>25110.478524814302</c:v>
                </c:pt>
                <c:pt idx="70">
                  <c:v>25474.104786522501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26564.983571647001</c:v>
                </c:pt>
                <c:pt idx="74">
                  <c:v>26928.6098333552</c:v>
                </c:pt>
                <c:pt idx="75">
                  <c:v>27292.236095063399</c:v>
                </c:pt>
                <c:pt idx="76">
                  <c:v>27655.862356771599</c:v>
                </c:pt>
                <c:pt idx="77">
                  <c:v>28019.488618479802</c:v>
                </c:pt>
                <c:pt idx="78">
                  <c:v>28383.114880188001</c:v>
                </c:pt>
                <c:pt idx="79">
                  <c:v>28746.7411418962</c:v>
                </c:pt>
                <c:pt idx="80">
                  <c:v>29110.367403604399</c:v>
                </c:pt>
                <c:pt idx="81">
                  <c:v>29473.993665312599</c:v>
                </c:pt>
                <c:pt idx="82">
                  <c:v>29837.619927020802</c:v>
                </c:pt>
                <c:pt idx="83">
                  <c:v>30201.246188729001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31292.124973853599</c:v>
                </c:pt>
                <c:pt idx="87">
                  <c:v>31655.751235561798</c:v>
                </c:pt>
                <c:pt idx="88">
                  <c:v>32019.377497270001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33110.256282394497</c:v>
                </c:pt>
                <c:pt idx="92">
                  <c:v>33473.8825441027</c:v>
                </c:pt>
                <c:pt idx="93">
                  <c:v>33837.508805810903</c:v>
                </c:pt>
                <c:pt idx="94">
                  <c:v>34201.135067519099</c:v>
                </c:pt>
                <c:pt idx="95">
                  <c:v>34564.761329227302</c:v>
                </c:pt>
                <c:pt idx="96">
                  <c:v>34928.387590935497</c:v>
                </c:pt>
                <c:pt idx="97">
                  <c:v>35292.0138526437</c:v>
                </c:pt>
                <c:pt idx="98">
                  <c:v>35655.640114351903</c:v>
                </c:pt>
                <c:pt idx="99">
                  <c:v>36019.266376060099</c:v>
                </c:pt>
              </c:numCache>
            </c:numRef>
          </c:xVal>
          <c:yVal>
            <c:numRef>
              <c:f>Sheet1_2!$C$2:$C$101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7-4684-8638-F1487D4A5E53}"/>
            </c:ext>
          </c:extLst>
        </c:ser>
        <c:ser>
          <c:idx val="1"/>
          <c:order val="1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Sheet1_2!$D$2:$D$101</c:f>
              <c:numCache>
                <c:formatCode>General</c:formatCode>
                <c:ptCount val="100"/>
                <c:pt idx="0">
                  <c:v>36023.961866048201</c:v>
                </c:pt>
                <c:pt idx="1">
                  <c:v>36387.588127756397</c:v>
                </c:pt>
                <c:pt idx="2">
                  <c:v>36751.2143894646</c:v>
                </c:pt>
                <c:pt idx="3">
                  <c:v>37114.840651172803</c:v>
                </c:pt>
                <c:pt idx="4">
                  <c:v>37478.466912880998</c:v>
                </c:pt>
                <c:pt idx="5">
                  <c:v>37842.093174589201</c:v>
                </c:pt>
                <c:pt idx="6">
                  <c:v>38205.719436297397</c:v>
                </c:pt>
                <c:pt idx="7">
                  <c:v>38569.3456980056</c:v>
                </c:pt>
                <c:pt idx="8">
                  <c:v>38932.971959713803</c:v>
                </c:pt>
                <c:pt idx="9">
                  <c:v>39296.598221421998</c:v>
                </c:pt>
                <c:pt idx="10">
                  <c:v>39660.224483130201</c:v>
                </c:pt>
                <c:pt idx="11">
                  <c:v>40023.850744838302</c:v>
                </c:pt>
                <c:pt idx="12">
                  <c:v>40387.477006546498</c:v>
                </c:pt>
                <c:pt idx="13">
                  <c:v>40751.103268254701</c:v>
                </c:pt>
                <c:pt idx="14">
                  <c:v>41114.729529962897</c:v>
                </c:pt>
                <c:pt idx="15">
                  <c:v>41478.3557916711</c:v>
                </c:pt>
                <c:pt idx="16">
                  <c:v>41841.982053379303</c:v>
                </c:pt>
                <c:pt idx="17">
                  <c:v>42205.608315087498</c:v>
                </c:pt>
                <c:pt idx="18">
                  <c:v>42569.234576795701</c:v>
                </c:pt>
                <c:pt idx="19">
                  <c:v>42932.860838503897</c:v>
                </c:pt>
                <c:pt idx="20">
                  <c:v>43296.4871002121</c:v>
                </c:pt>
                <c:pt idx="21">
                  <c:v>43660.113361920303</c:v>
                </c:pt>
                <c:pt idx="22">
                  <c:v>44023.739623628499</c:v>
                </c:pt>
                <c:pt idx="23">
                  <c:v>44387.365885336701</c:v>
                </c:pt>
                <c:pt idx="24">
                  <c:v>44750.992147044897</c:v>
                </c:pt>
                <c:pt idx="25">
                  <c:v>45114.6184087531</c:v>
                </c:pt>
                <c:pt idx="26">
                  <c:v>45478.244670461303</c:v>
                </c:pt>
                <c:pt idx="27">
                  <c:v>45841.870932169499</c:v>
                </c:pt>
                <c:pt idx="28">
                  <c:v>46205.497193877702</c:v>
                </c:pt>
                <c:pt idx="29">
                  <c:v>46569.123455585897</c:v>
                </c:pt>
                <c:pt idx="30">
                  <c:v>46932.7497172941</c:v>
                </c:pt>
                <c:pt idx="31">
                  <c:v>47296.375979002201</c:v>
                </c:pt>
                <c:pt idx="32">
                  <c:v>47660.002240710397</c:v>
                </c:pt>
                <c:pt idx="33">
                  <c:v>48023.6285024186</c:v>
                </c:pt>
                <c:pt idx="34">
                  <c:v>48387.254764126803</c:v>
                </c:pt>
                <c:pt idx="35">
                  <c:v>48750.881025834999</c:v>
                </c:pt>
                <c:pt idx="36">
                  <c:v>49114.507287543202</c:v>
                </c:pt>
                <c:pt idx="37">
                  <c:v>49478.133549251397</c:v>
                </c:pt>
                <c:pt idx="38">
                  <c:v>49841.7598109596</c:v>
                </c:pt>
                <c:pt idx="39">
                  <c:v>50205.386072667803</c:v>
                </c:pt>
                <c:pt idx="40">
                  <c:v>50569.012334375999</c:v>
                </c:pt>
                <c:pt idx="41">
                  <c:v>50932.638596084202</c:v>
                </c:pt>
                <c:pt idx="42">
                  <c:v>51296.264857792397</c:v>
                </c:pt>
                <c:pt idx="43">
                  <c:v>51659.8911195006</c:v>
                </c:pt>
                <c:pt idx="44">
                  <c:v>52023.517381208803</c:v>
                </c:pt>
                <c:pt idx="45">
                  <c:v>52387.143642916999</c:v>
                </c:pt>
                <c:pt idx="46">
                  <c:v>52750.769904625202</c:v>
                </c:pt>
                <c:pt idx="47">
                  <c:v>53114.396166333398</c:v>
                </c:pt>
                <c:pt idx="48">
                  <c:v>53478.022428041601</c:v>
                </c:pt>
                <c:pt idx="49">
                  <c:v>53841.648689749803</c:v>
                </c:pt>
                <c:pt idx="50">
                  <c:v>54205.274951457999</c:v>
                </c:pt>
                <c:pt idx="51">
                  <c:v>54568.9012131661</c:v>
                </c:pt>
                <c:pt idx="52">
                  <c:v>54932.527474874303</c:v>
                </c:pt>
                <c:pt idx="53">
                  <c:v>55296.153736582499</c:v>
                </c:pt>
                <c:pt idx="54">
                  <c:v>55659.779998290702</c:v>
                </c:pt>
                <c:pt idx="55">
                  <c:v>56023.406259998897</c:v>
                </c:pt>
                <c:pt idx="56">
                  <c:v>56387.0325217071</c:v>
                </c:pt>
                <c:pt idx="57">
                  <c:v>56750.658783415303</c:v>
                </c:pt>
                <c:pt idx="58">
                  <c:v>57114.285045123499</c:v>
                </c:pt>
                <c:pt idx="59">
                  <c:v>57477.911306831702</c:v>
                </c:pt>
                <c:pt idx="60">
                  <c:v>57841.537568539898</c:v>
                </c:pt>
                <c:pt idx="61">
                  <c:v>58205.163830248101</c:v>
                </c:pt>
                <c:pt idx="62">
                  <c:v>58568.790091956304</c:v>
                </c:pt>
                <c:pt idx="63">
                  <c:v>58932.416353664499</c:v>
                </c:pt>
                <c:pt idx="64">
                  <c:v>59296.042615372702</c:v>
                </c:pt>
                <c:pt idx="65">
                  <c:v>59659.668877080898</c:v>
                </c:pt>
                <c:pt idx="66">
                  <c:v>60023.295138789101</c:v>
                </c:pt>
                <c:pt idx="67">
                  <c:v>60386.921400497296</c:v>
                </c:pt>
                <c:pt idx="68">
                  <c:v>60750.547662205499</c:v>
                </c:pt>
                <c:pt idx="69">
                  <c:v>61114.173923913702</c:v>
                </c:pt>
                <c:pt idx="70">
                  <c:v>61477.800185621898</c:v>
                </c:pt>
                <c:pt idx="71">
                  <c:v>61841.426447329999</c:v>
                </c:pt>
                <c:pt idx="72">
                  <c:v>62205.052709038202</c:v>
                </c:pt>
                <c:pt idx="73">
                  <c:v>62568.678970746398</c:v>
                </c:pt>
                <c:pt idx="74">
                  <c:v>62932.305232454601</c:v>
                </c:pt>
                <c:pt idx="75">
                  <c:v>63295.931494162804</c:v>
                </c:pt>
                <c:pt idx="76">
                  <c:v>63659.557755870999</c:v>
                </c:pt>
                <c:pt idx="77">
                  <c:v>64023.184017579202</c:v>
                </c:pt>
                <c:pt idx="78">
                  <c:v>64386.810279287398</c:v>
                </c:pt>
                <c:pt idx="79">
                  <c:v>64750.436540995601</c:v>
                </c:pt>
                <c:pt idx="80">
                  <c:v>65114.062802703796</c:v>
                </c:pt>
                <c:pt idx="81">
                  <c:v>65477.689064411999</c:v>
                </c:pt>
                <c:pt idx="82">
                  <c:v>65841.315326120195</c:v>
                </c:pt>
                <c:pt idx="83">
                  <c:v>66204.941587828405</c:v>
                </c:pt>
                <c:pt idx="84">
                  <c:v>66568.567849536601</c:v>
                </c:pt>
                <c:pt idx="85">
                  <c:v>66932.194111244797</c:v>
                </c:pt>
                <c:pt idx="86">
                  <c:v>67295.820372953007</c:v>
                </c:pt>
                <c:pt idx="87">
                  <c:v>67659.446634661203</c:v>
                </c:pt>
                <c:pt idx="88">
                  <c:v>68023.072896369398</c:v>
                </c:pt>
                <c:pt idx="89">
                  <c:v>68386.699158077594</c:v>
                </c:pt>
                <c:pt idx="90">
                  <c:v>68750.325419785804</c:v>
                </c:pt>
                <c:pt idx="91">
                  <c:v>69113.951681493898</c:v>
                </c:pt>
                <c:pt idx="92">
                  <c:v>69477.577943202094</c:v>
                </c:pt>
                <c:pt idx="93">
                  <c:v>69841.204204910304</c:v>
                </c:pt>
                <c:pt idx="94">
                  <c:v>70204.830466618499</c:v>
                </c:pt>
                <c:pt idx="95">
                  <c:v>70568.456728326695</c:v>
                </c:pt>
                <c:pt idx="96">
                  <c:v>70932.082990034905</c:v>
                </c:pt>
                <c:pt idx="97">
                  <c:v>71295.709251743101</c:v>
                </c:pt>
                <c:pt idx="98">
                  <c:v>71659.335513451297</c:v>
                </c:pt>
                <c:pt idx="99">
                  <c:v>72022.961775159507</c:v>
                </c:pt>
              </c:numCache>
            </c:numRef>
          </c:xVal>
          <c:yVal>
            <c:numRef>
              <c:f>Sheet1_2!$E$2:$E$101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7-4684-8638-F1487D4A5E53}"/>
            </c:ext>
          </c:extLst>
        </c:ser>
        <c:ser>
          <c:idx val="2"/>
          <c:order val="2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Sheet1_2!$F$2:$F$101</c:f>
              <c:numCache>
                <c:formatCode>General</c:formatCode>
                <c:ptCount val="100"/>
                <c:pt idx="0">
                  <c:v>72028.995598144305</c:v>
                </c:pt>
                <c:pt idx="1">
                  <c:v>72392.621859852501</c:v>
                </c:pt>
                <c:pt idx="2">
                  <c:v>72756.248121560697</c:v>
                </c:pt>
                <c:pt idx="3">
                  <c:v>73119.874383268907</c:v>
                </c:pt>
                <c:pt idx="4">
                  <c:v>73483.500644977103</c:v>
                </c:pt>
                <c:pt idx="5">
                  <c:v>73847.126906685298</c:v>
                </c:pt>
                <c:pt idx="6">
                  <c:v>74210.753168393494</c:v>
                </c:pt>
                <c:pt idx="7">
                  <c:v>74574.379430101704</c:v>
                </c:pt>
                <c:pt idx="8">
                  <c:v>74938.0056918099</c:v>
                </c:pt>
                <c:pt idx="9">
                  <c:v>75301.631953518096</c:v>
                </c:pt>
                <c:pt idx="10">
                  <c:v>75665.258215226306</c:v>
                </c:pt>
                <c:pt idx="11">
                  <c:v>76028.884476934501</c:v>
                </c:pt>
                <c:pt idx="12">
                  <c:v>76392.510738642697</c:v>
                </c:pt>
                <c:pt idx="13">
                  <c:v>76756.137000350893</c:v>
                </c:pt>
                <c:pt idx="14">
                  <c:v>77119.763262059103</c:v>
                </c:pt>
                <c:pt idx="15">
                  <c:v>77483.389523767299</c:v>
                </c:pt>
                <c:pt idx="16">
                  <c:v>77847.015785475494</c:v>
                </c:pt>
                <c:pt idx="17">
                  <c:v>78210.642047183705</c:v>
                </c:pt>
                <c:pt idx="18">
                  <c:v>78574.2683088919</c:v>
                </c:pt>
                <c:pt idx="19">
                  <c:v>78937.894570600096</c:v>
                </c:pt>
                <c:pt idx="20">
                  <c:v>79301.520832308306</c:v>
                </c:pt>
                <c:pt idx="21">
                  <c:v>79665.147094016502</c:v>
                </c:pt>
                <c:pt idx="22">
                  <c:v>80028.773355724697</c:v>
                </c:pt>
                <c:pt idx="23">
                  <c:v>80392.399617432893</c:v>
                </c:pt>
                <c:pt idx="24">
                  <c:v>80756.025879141103</c:v>
                </c:pt>
                <c:pt idx="25">
                  <c:v>81119.652140849299</c:v>
                </c:pt>
                <c:pt idx="26">
                  <c:v>81483.278402557495</c:v>
                </c:pt>
                <c:pt idx="27">
                  <c:v>81846.904664265705</c:v>
                </c:pt>
                <c:pt idx="28">
                  <c:v>82210.530925973901</c:v>
                </c:pt>
                <c:pt idx="29">
                  <c:v>82574.157187682096</c:v>
                </c:pt>
                <c:pt idx="30">
                  <c:v>82937.783449390306</c:v>
                </c:pt>
                <c:pt idx="31">
                  <c:v>83301.409711098502</c:v>
                </c:pt>
                <c:pt idx="32">
                  <c:v>83665.035972806698</c:v>
                </c:pt>
                <c:pt idx="33">
                  <c:v>84028.662234514893</c:v>
                </c:pt>
                <c:pt idx="34">
                  <c:v>84392.288496223104</c:v>
                </c:pt>
                <c:pt idx="35">
                  <c:v>84755.914757931299</c:v>
                </c:pt>
                <c:pt idx="36">
                  <c:v>85119.541019639495</c:v>
                </c:pt>
                <c:pt idx="37">
                  <c:v>85483.167281347705</c:v>
                </c:pt>
                <c:pt idx="38">
                  <c:v>85846.793543055901</c:v>
                </c:pt>
                <c:pt idx="39">
                  <c:v>86210.419804764097</c:v>
                </c:pt>
                <c:pt idx="40">
                  <c:v>86574.046066472307</c:v>
                </c:pt>
                <c:pt idx="41">
                  <c:v>86937.672328180503</c:v>
                </c:pt>
                <c:pt idx="42">
                  <c:v>87301.298589888698</c:v>
                </c:pt>
                <c:pt idx="43">
                  <c:v>87664.924851596894</c:v>
                </c:pt>
                <c:pt idx="44">
                  <c:v>88028.551113305104</c:v>
                </c:pt>
                <c:pt idx="45">
                  <c:v>88392.1773750133</c:v>
                </c:pt>
                <c:pt idx="46">
                  <c:v>88755.803636721495</c:v>
                </c:pt>
                <c:pt idx="47">
                  <c:v>89119.429898429706</c:v>
                </c:pt>
                <c:pt idx="48">
                  <c:v>89483.056160137901</c:v>
                </c:pt>
                <c:pt idx="49">
                  <c:v>89846.682421846097</c:v>
                </c:pt>
                <c:pt idx="50">
                  <c:v>90210.308683554307</c:v>
                </c:pt>
                <c:pt idx="51">
                  <c:v>90573.934945262401</c:v>
                </c:pt>
                <c:pt idx="52">
                  <c:v>90937.561206970699</c:v>
                </c:pt>
                <c:pt idx="53">
                  <c:v>91301.187468678894</c:v>
                </c:pt>
                <c:pt idx="54">
                  <c:v>91664.813730387104</c:v>
                </c:pt>
                <c:pt idx="55">
                  <c:v>92028.439992095198</c:v>
                </c:pt>
                <c:pt idx="56">
                  <c:v>92392.066253803394</c:v>
                </c:pt>
                <c:pt idx="57">
                  <c:v>92755.692515511706</c:v>
                </c:pt>
                <c:pt idx="58">
                  <c:v>93119.3187772198</c:v>
                </c:pt>
                <c:pt idx="59">
                  <c:v>93482.945038927995</c:v>
                </c:pt>
                <c:pt idx="60">
                  <c:v>93846.571300636206</c:v>
                </c:pt>
                <c:pt idx="61">
                  <c:v>94210.197562344401</c:v>
                </c:pt>
                <c:pt idx="62">
                  <c:v>94573.823824052597</c:v>
                </c:pt>
                <c:pt idx="63">
                  <c:v>94937.450085760807</c:v>
                </c:pt>
                <c:pt idx="64">
                  <c:v>95301.076347469003</c:v>
                </c:pt>
                <c:pt idx="65">
                  <c:v>95664.702609177199</c:v>
                </c:pt>
                <c:pt idx="66">
                  <c:v>96028.328870885394</c:v>
                </c:pt>
                <c:pt idx="67">
                  <c:v>96391.955132593605</c:v>
                </c:pt>
                <c:pt idx="68">
                  <c:v>96755.5813943018</c:v>
                </c:pt>
                <c:pt idx="69">
                  <c:v>97119.207656009996</c:v>
                </c:pt>
                <c:pt idx="70">
                  <c:v>97482.833917718206</c:v>
                </c:pt>
                <c:pt idx="71">
                  <c:v>97846.460179426402</c:v>
                </c:pt>
                <c:pt idx="72">
                  <c:v>98210.086441134597</c:v>
                </c:pt>
                <c:pt idx="73">
                  <c:v>98573.712702842793</c:v>
                </c:pt>
                <c:pt idx="74">
                  <c:v>98937.338964551003</c:v>
                </c:pt>
                <c:pt idx="75">
                  <c:v>99300.965226259199</c:v>
                </c:pt>
                <c:pt idx="76">
                  <c:v>99664.591487967395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101482.72279650799</c:v>
                </c:pt>
                <c:pt idx="82">
                  <c:v>101846.34905821701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105482.61167529901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Sheet1_2!$G$2:$G$101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37-4684-8638-F1487D4A5E53}"/>
            </c:ext>
          </c:extLst>
        </c:ser>
        <c:ser>
          <c:idx val="3"/>
          <c:order val="3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Sheet1_2!$H$2:$H$101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110941.38699891001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113123.14456915901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114577.64961599201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116759.40718624101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118213.91223307401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120395.66980332301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121850.17485015601</c:v>
                </c:pt>
                <c:pt idx="39">
                  <c:v>122213.801111864</c:v>
                </c:pt>
                <c:pt idx="40">
                  <c:v>122577.42737357201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124031.93242040501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125486.43746723801</c:v>
                </c:pt>
                <c:pt idx="49">
                  <c:v>125850.063728946</c:v>
                </c:pt>
                <c:pt idx="50">
                  <c:v>126213.68999065401</c:v>
                </c:pt>
                <c:pt idx="51">
                  <c:v>126577.316252362</c:v>
                </c:pt>
                <c:pt idx="52">
                  <c:v>126940.94251407099</c:v>
                </c:pt>
                <c:pt idx="53">
                  <c:v>127304.568775779</c:v>
                </c:pt>
                <c:pt idx="54">
                  <c:v>127668.19503748701</c:v>
                </c:pt>
                <c:pt idx="55">
                  <c:v>128031.821299195</c:v>
                </c:pt>
                <c:pt idx="56">
                  <c:v>128395.44756090301</c:v>
                </c:pt>
                <c:pt idx="57">
                  <c:v>128759.073822612</c:v>
                </c:pt>
                <c:pt idx="58">
                  <c:v>129122.70008431999</c:v>
                </c:pt>
                <c:pt idx="59">
                  <c:v>129486.326346028</c:v>
                </c:pt>
                <c:pt idx="60">
                  <c:v>129849.95260773601</c:v>
                </c:pt>
                <c:pt idx="61">
                  <c:v>130213.578869444</c:v>
                </c:pt>
                <c:pt idx="62">
                  <c:v>130577.20513115299</c:v>
                </c:pt>
                <c:pt idx="63">
                  <c:v>130940.831392861</c:v>
                </c:pt>
                <c:pt idx="64">
                  <c:v>131304.45765456901</c:v>
                </c:pt>
                <c:pt idx="65">
                  <c:v>131668.08391627701</c:v>
                </c:pt>
                <c:pt idx="66">
                  <c:v>132031.71017798499</c:v>
                </c:pt>
                <c:pt idx="67">
                  <c:v>132395.33643969399</c:v>
                </c:pt>
                <c:pt idx="68">
                  <c:v>132758.96270140199</c:v>
                </c:pt>
                <c:pt idx="69">
                  <c:v>133122.58896311</c:v>
                </c:pt>
                <c:pt idx="70">
                  <c:v>133486.21522481801</c:v>
                </c:pt>
                <c:pt idx="71">
                  <c:v>133849.84148652601</c:v>
                </c:pt>
                <c:pt idx="72">
                  <c:v>134213.46774823501</c:v>
                </c:pt>
                <c:pt idx="73">
                  <c:v>134577.09400994299</c:v>
                </c:pt>
                <c:pt idx="74">
                  <c:v>134940.72027165099</c:v>
                </c:pt>
                <c:pt idx="75">
                  <c:v>135304.346533359</c:v>
                </c:pt>
                <c:pt idx="76">
                  <c:v>135667.97279506701</c:v>
                </c:pt>
                <c:pt idx="77">
                  <c:v>136031.599056776</c:v>
                </c:pt>
                <c:pt idx="78">
                  <c:v>136395.22531848401</c:v>
                </c:pt>
                <c:pt idx="79">
                  <c:v>136758.85158019199</c:v>
                </c:pt>
                <c:pt idx="80">
                  <c:v>137122.47784189999</c:v>
                </c:pt>
                <c:pt idx="81">
                  <c:v>137486.104103608</c:v>
                </c:pt>
                <c:pt idx="82">
                  <c:v>137849.73036531699</c:v>
                </c:pt>
                <c:pt idx="83">
                  <c:v>138213.356627025</c:v>
                </c:pt>
                <c:pt idx="84">
                  <c:v>138576.98288873301</c:v>
                </c:pt>
                <c:pt idx="85">
                  <c:v>138940.60915044101</c:v>
                </c:pt>
                <c:pt idx="86">
                  <c:v>139304.23541214899</c:v>
                </c:pt>
                <c:pt idx="87">
                  <c:v>139667.86167385799</c:v>
                </c:pt>
                <c:pt idx="88">
                  <c:v>140031.48793556599</c:v>
                </c:pt>
                <c:pt idx="89">
                  <c:v>140395.114197274</c:v>
                </c:pt>
                <c:pt idx="90">
                  <c:v>140758.74045898201</c:v>
                </c:pt>
                <c:pt idx="91">
                  <c:v>141122.36672069001</c:v>
                </c:pt>
                <c:pt idx="92">
                  <c:v>141485.99298239901</c:v>
                </c:pt>
                <c:pt idx="93">
                  <c:v>141849.61924410699</c:v>
                </c:pt>
                <c:pt idx="94">
                  <c:v>142213.24550581499</c:v>
                </c:pt>
                <c:pt idx="95">
                  <c:v>142576.871767523</c:v>
                </c:pt>
                <c:pt idx="96">
                  <c:v>142940.49802923101</c:v>
                </c:pt>
                <c:pt idx="97">
                  <c:v>143304.12429094</c:v>
                </c:pt>
                <c:pt idx="98">
                  <c:v>143667.75055264801</c:v>
                </c:pt>
                <c:pt idx="99">
                  <c:v>144031.37681435599</c:v>
                </c:pt>
              </c:numCache>
            </c:numRef>
          </c:xVal>
          <c:yVal>
            <c:numRef>
              <c:f>Sheet1_2!$I$2:$I$101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37-4684-8638-F1487D4A5E53}"/>
            </c:ext>
          </c:extLst>
        </c:ser>
        <c:ser>
          <c:idx val="4"/>
          <c:order val="4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C99C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Sheet1_2!$J$2:$J$101</c:f>
              <c:numCache>
                <c:formatCode>General</c:formatCode>
                <c:ptCount val="100"/>
                <c:pt idx="0">
                  <c:v>144037.75662433999</c:v>
                </c:pt>
                <c:pt idx="1">
                  <c:v>144401.382886048</c:v>
                </c:pt>
                <c:pt idx="2">
                  <c:v>144765.00914775601</c:v>
                </c:pt>
                <c:pt idx="3">
                  <c:v>145128.635409465</c:v>
                </c:pt>
                <c:pt idx="4">
                  <c:v>145492.26167117301</c:v>
                </c:pt>
                <c:pt idx="5">
                  <c:v>145855.88793288101</c:v>
                </c:pt>
                <c:pt idx="6">
                  <c:v>146219.51419458899</c:v>
                </c:pt>
                <c:pt idx="7">
                  <c:v>146583.140456297</c:v>
                </c:pt>
                <c:pt idx="8">
                  <c:v>146946.76671800599</c:v>
                </c:pt>
                <c:pt idx="9">
                  <c:v>147310.392979714</c:v>
                </c:pt>
                <c:pt idx="10">
                  <c:v>147674.01924142201</c:v>
                </c:pt>
                <c:pt idx="11">
                  <c:v>148037.64550313001</c:v>
                </c:pt>
                <c:pt idx="12">
                  <c:v>148401.27176483799</c:v>
                </c:pt>
                <c:pt idx="13">
                  <c:v>148764.89802654699</c:v>
                </c:pt>
                <c:pt idx="14">
                  <c:v>149128.52428825499</c:v>
                </c:pt>
                <c:pt idx="15">
                  <c:v>149492.150549963</c:v>
                </c:pt>
                <c:pt idx="16">
                  <c:v>149855.77681167101</c:v>
                </c:pt>
                <c:pt idx="17">
                  <c:v>150219.40307337901</c:v>
                </c:pt>
                <c:pt idx="18">
                  <c:v>150583.02933508699</c:v>
                </c:pt>
                <c:pt idx="19">
                  <c:v>150946.65559679599</c:v>
                </c:pt>
                <c:pt idx="20">
                  <c:v>151310.28185850399</c:v>
                </c:pt>
                <c:pt idx="21">
                  <c:v>151673.908120212</c:v>
                </c:pt>
                <c:pt idx="22">
                  <c:v>152037.53438192001</c:v>
                </c:pt>
                <c:pt idx="23">
                  <c:v>152401.16064362801</c:v>
                </c:pt>
                <c:pt idx="24">
                  <c:v>152764.78690533701</c:v>
                </c:pt>
                <c:pt idx="25">
                  <c:v>153128.41316704499</c:v>
                </c:pt>
                <c:pt idx="26">
                  <c:v>153492.03942875299</c:v>
                </c:pt>
                <c:pt idx="27">
                  <c:v>153855.665690461</c:v>
                </c:pt>
                <c:pt idx="28">
                  <c:v>154219.29195216901</c:v>
                </c:pt>
                <c:pt idx="29">
                  <c:v>154582.918213878</c:v>
                </c:pt>
                <c:pt idx="30">
                  <c:v>154946.54447558601</c:v>
                </c:pt>
                <c:pt idx="31">
                  <c:v>155310.17073729401</c:v>
                </c:pt>
                <c:pt idx="32">
                  <c:v>155673.79699900199</c:v>
                </c:pt>
                <c:pt idx="33">
                  <c:v>156037.42326071</c:v>
                </c:pt>
                <c:pt idx="34">
                  <c:v>156401.04952241899</c:v>
                </c:pt>
                <c:pt idx="35">
                  <c:v>156764.675784127</c:v>
                </c:pt>
                <c:pt idx="36">
                  <c:v>157128.30204583501</c:v>
                </c:pt>
                <c:pt idx="37">
                  <c:v>157491.92830754301</c:v>
                </c:pt>
                <c:pt idx="38">
                  <c:v>157855.55456925099</c:v>
                </c:pt>
                <c:pt idx="39">
                  <c:v>158219.18083095999</c:v>
                </c:pt>
                <c:pt idx="40">
                  <c:v>158582.80709266799</c:v>
                </c:pt>
                <c:pt idx="41">
                  <c:v>158946.433354376</c:v>
                </c:pt>
                <c:pt idx="42">
                  <c:v>159310.05961608401</c:v>
                </c:pt>
                <c:pt idx="43">
                  <c:v>159673.68587779201</c:v>
                </c:pt>
                <c:pt idx="44">
                  <c:v>160037.31213949999</c:v>
                </c:pt>
                <c:pt idx="45">
                  <c:v>160400.93840120899</c:v>
                </c:pt>
                <c:pt idx="46">
                  <c:v>160764.56466291699</c:v>
                </c:pt>
                <c:pt idx="47">
                  <c:v>161128.190924625</c:v>
                </c:pt>
                <c:pt idx="48">
                  <c:v>161491.81718633301</c:v>
                </c:pt>
                <c:pt idx="49">
                  <c:v>161855.44344804101</c:v>
                </c:pt>
                <c:pt idx="50">
                  <c:v>162219.06970975001</c:v>
                </c:pt>
                <c:pt idx="51">
                  <c:v>162582.69597145799</c:v>
                </c:pt>
                <c:pt idx="52">
                  <c:v>162946.32223316599</c:v>
                </c:pt>
                <c:pt idx="53">
                  <c:v>163309.948494874</c:v>
                </c:pt>
                <c:pt idx="54">
                  <c:v>163673.57475658201</c:v>
                </c:pt>
                <c:pt idx="55">
                  <c:v>164037.201018291</c:v>
                </c:pt>
                <c:pt idx="56">
                  <c:v>164400.82727999901</c:v>
                </c:pt>
                <c:pt idx="57">
                  <c:v>164764.45354170699</c:v>
                </c:pt>
                <c:pt idx="58">
                  <c:v>165128.07980341499</c:v>
                </c:pt>
                <c:pt idx="59">
                  <c:v>165491.706065123</c:v>
                </c:pt>
                <c:pt idx="60">
                  <c:v>165855.33232683199</c:v>
                </c:pt>
                <c:pt idx="61">
                  <c:v>166218.95858854</c:v>
                </c:pt>
                <c:pt idx="62">
                  <c:v>166582.58485024801</c:v>
                </c:pt>
                <c:pt idx="63">
                  <c:v>166946.21111195601</c:v>
                </c:pt>
                <c:pt idx="64">
                  <c:v>167309.83737366399</c:v>
                </c:pt>
                <c:pt idx="65">
                  <c:v>167673.463635372</c:v>
                </c:pt>
                <c:pt idx="66">
                  <c:v>168037.08989708099</c:v>
                </c:pt>
                <c:pt idx="67">
                  <c:v>168400.716158789</c:v>
                </c:pt>
                <c:pt idx="68">
                  <c:v>168764.34242049701</c:v>
                </c:pt>
                <c:pt idx="69">
                  <c:v>169127.96868220501</c:v>
                </c:pt>
                <c:pt idx="70">
                  <c:v>169491.59494391299</c:v>
                </c:pt>
                <c:pt idx="71">
                  <c:v>169855.22120562199</c:v>
                </c:pt>
                <c:pt idx="72">
                  <c:v>170218.84746732999</c:v>
                </c:pt>
                <c:pt idx="73">
                  <c:v>170582.473729038</c:v>
                </c:pt>
                <c:pt idx="74">
                  <c:v>170946.09999074601</c:v>
                </c:pt>
                <c:pt idx="75">
                  <c:v>171309.72625245401</c:v>
                </c:pt>
                <c:pt idx="76">
                  <c:v>171673.35251416301</c:v>
                </c:pt>
                <c:pt idx="77">
                  <c:v>172036.97877587099</c:v>
                </c:pt>
                <c:pt idx="78">
                  <c:v>172400.60503757899</c:v>
                </c:pt>
                <c:pt idx="79">
                  <c:v>172764.231299287</c:v>
                </c:pt>
                <c:pt idx="80">
                  <c:v>173127.85756099501</c:v>
                </c:pt>
                <c:pt idx="81">
                  <c:v>173491.483822704</c:v>
                </c:pt>
                <c:pt idx="82">
                  <c:v>173855.11008441201</c:v>
                </c:pt>
                <c:pt idx="83">
                  <c:v>174218.73634611999</c:v>
                </c:pt>
                <c:pt idx="84">
                  <c:v>174582.36260782799</c:v>
                </c:pt>
                <c:pt idx="85">
                  <c:v>174945.988869536</c:v>
                </c:pt>
                <c:pt idx="86">
                  <c:v>175309.61513124499</c:v>
                </c:pt>
                <c:pt idx="87">
                  <c:v>175673.241392953</c:v>
                </c:pt>
                <c:pt idx="88">
                  <c:v>176036.86765466101</c:v>
                </c:pt>
                <c:pt idx="89">
                  <c:v>176400.49391636901</c:v>
                </c:pt>
                <c:pt idx="90">
                  <c:v>176764.12017807699</c:v>
                </c:pt>
                <c:pt idx="91">
                  <c:v>177127.746439785</c:v>
                </c:pt>
                <c:pt idx="92">
                  <c:v>177491.37270149399</c:v>
                </c:pt>
                <c:pt idx="93">
                  <c:v>177854.998963202</c:v>
                </c:pt>
                <c:pt idx="94">
                  <c:v>178218.62522491001</c:v>
                </c:pt>
                <c:pt idx="95">
                  <c:v>178582.25148661801</c:v>
                </c:pt>
                <c:pt idx="96">
                  <c:v>178945.87774832599</c:v>
                </c:pt>
                <c:pt idx="97">
                  <c:v>179309.50401003499</c:v>
                </c:pt>
                <c:pt idx="98">
                  <c:v>179673.13027174299</c:v>
                </c:pt>
                <c:pt idx="99">
                  <c:v>180036.756533451</c:v>
                </c:pt>
              </c:numCache>
            </c:numRef>
          </c:xVal>
          <c:yVal>
            <c:numRef>
              <c:f>Sheet1_2!$K$2:$K$101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37-4684-8638-F1487D4A5E53}"/>
            </c:ext>
          </c:extLst>
        </c:ser>
        <c:ser>
          <c:idx val="5"/>
          <c:order val="5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C9211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Sheet1_2!$L$2:$L$101</c:f>
              <c:numCache>
                <c:formatCode>General</c:formatCode>
                <c:ptCount val="100"/>
                <c:pt idx="0">
                  <c:v>180041.14793244001</c:v>
                </c:pt>
                <c:pt idx="1">
                  <c:v>180404.77419414799</c:v>
                </c:pt>
                <c:pt idx="2">
                  <c:v>180768.400455856</c:v>
                </c:pt>
                <c:pt idx="3">
                  <c:v>181132.02671756499</c:v>
                </c:pt>
                <c:pt idx="4">
                  <c:v>181495.652979273</c:v>
                </c:pt>
                <c:pt idx="5">
                  <c:v>181859.27924098101</c:v>
                </c:pt>
                <c:pt idx="6">
                  <c:v>182222.90550268901</c:v>
                </c:pt>
                <c:pt idx="7">
                  <c:v>182586.53176439699</c:v>
                </c:pt>
                <c:pt idx="8">
                  <c:v>182950.15802610599</c:v>
                </c:pt>
                <c:pt idx="9">
                  <c:v>183313.78428781399</c:v>
                </c:pt>
                <c:pt idx="10">
                  <c:v>183677.410549522</c:v>
                </c:pt>
                <c:pt idx="11">
                  <c:v>184041.03681123001</c:v>
                </c:pt>
                <c:pt idx="12">
                  <c:v>184404.66307293801</c:v>
                </c:pt>
                <c:pt idx="13">
                  <c:v>184768.28933464701</c:v>
                </c:pt>
                <c:pt idx="14">
                  <c:v>185131.91559635499</c:v>
                </c:pt>
                <c:pt idx="15">
                  <c:v>185495.54185806299</c:v>
                </c:pt>
                <c:pt idx="16">
                  <c:v>185859.168119771</c:v>
                </c:pt>
                <c:pt idx="17">
                  <c:v>186222.79438147901</c:v>
                </c:pt>
                <c:pt idx="18">
                  <c:v>186586.42064318701</c:v>
                </c:pt>
                <c:pt idx="19">
                  <c:v>186950.04690489601</c:v>
                </c:pt>
                <c:pt idx="20">
                  <c:v>187313.67316660401</c:v>
                </c:pt>
                <c:pt idx="21">
                  <c:v>187677.29942831199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189131.80447514501</c:v>
                </c:pt>
                <c:pt idx="26">
                  <c:v>189495.43073685301</c:v>
                </c:pt>
                <c:pt idx="27">
                  <c:v>189859.05699856099</c:v>
                </c:pt>
                <c:pt idx="28">
                  <c:v>190222.683260269</c:v>
                </c:pt>
                <c:pt idx="29">
                  <c:v>190586.30952197799</c:v>
                </c:pt>
                <c:pt idx="30">
                  <c:v>190949.935783686</c:v>
                </c:pt>
                <c:pt idx="31">
                  <c:v>191313.56204539401</c:v>
                </c:pt>
                <c:pt idx="32">
                  <c:v>191677.18830710201</c:v>
                </c:pt>
                <c:pt idx="33">
                  <c:v>192040.81456880999</c:v>
                </c:pt>
                <c:pt idx="34">
                  <c:v>192404.44083051899</c:v>
                </c:pt>
                <c:pt idx="35">
                  <c:v>192768.06709222699</c:v>
                </c:pt>
                <c:pt idx="36">
                  <c:v>193131.693353935</c:v>
                </c:pt>
                <c:pt idx="37">
                  <c:v>193495.31961564301</c:v>
                </c:pt>
                <c:pt idx="38">
                  <c:v>193858.94587735101</c:v>
                </c:pt>
                <c:pt idx="39">
                  <c:v>194222.57213905899</c:v>
                </c:pt>
                <c:pt idx="40">
                  <c:v>194586.19840076799</c:v>
                </c:pt>
                <c:pt idx="41">
                  <c:v>194949.82466247599</c:v>
                </c:pt>
                <c:pt idx="42">
                  <c:v>195313.450924184</c:v>
                </c:pt>
                <c:pt idx="43">
                  <c:v>195677.07718589201</c:v>
                </c:pt>
                <c:pt idx="44">
                  <c:v>196040.70344760001</c:v>
                </c:pt>
                <c:pt idx="45">
                  <c:v>196404.32970930901</c:v>
                </c:pt>
                <c:pt idx="46">
                  <c:v>196767.95597101701</c:v>
                </c:pt>
                <c:pt idx="47">
                  <c:v>197131.58223272499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198586.08727955801</c:v>
                </c:pt>
                <c:pt idx="52">
                  <c:v>198949.71354126601</c:v>
                </c:pt>
                <c:pt idx="53">
                  <c:v>199313.33980297399</c:v>
                </c:pt>
                <c:pt idx="54">
                  <c:v>199676.966064682</c:v>
                </c:pt>
                <c:pt idx="55">
                  <c:v>200040.59232639099</c:v>
                </c:pt>
                <c:pt idx="56">
                  <c:v>200404.218588099</c:v>
                </c:pt>
                <c:pt idx="57">
                  <c:v>200767.84484980701</c:v>
                </c:pt>
                <c:pt idx="58">
                  <c:v>201131.47111151501</c:v>
                </c:pt>
                <c:pt idx="59">
                  <c:v>201495.09737322299</c:v>
                </c:pt>
                <c:pt idx="60">
                  <c:v>201858.72363493199</c:v>
                </c:pt>
                <c:pt idx="61">
                  <c:v>202222.34989663999</c:v>
                </c:pt>
                <c:pt idx="62">
                  <c:v>202585.976158348</c:v>
                </c:pt>
                <c:pt idx="63">
                  <c:v>202949.60242005601</c:v>
                </c:pt>
                <c:pt idx="64">
                  <c:v>203313.22868176401</c:v>
                </c:pt>
                <c:pt idx="65">
                  <c:v>203676.85494347199</c:v>
                </c:pt>
                <c:pt idx="66">
                  <c:v>204040.48120518099</c:v>
                </c:pt>
                <c:pt idx="67">
                  <c:v>204404.10746688899</c:v>
                </c:pt>
                <c:pt idx="68">
                  <c:v>204767.733728597</c:v>
                </c:pt>
                <c:pt idx="69">
                  <c:v>205131.35999030501</c:v>
                </c:pt>
                <c:pt idx="70">
                  <c:v>205494.98625201301</c:v>
                </c:pt>
                <c:pt idx="71">
                  <c:v>205858.61251372201</c:v>
                </c:pt>
                <c:pt idx="72">
                  <c:v>206222.23877543001</c:v>
                </c:pt>
                <c:pt idx="73">
                  <c:v>206585.86503713799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208040.37008397101</c:v>
                </c:pt>
                <c:pt idx="78">
                  <c:v>208403.99634567901</c:v>
                </c:pt>
                <c:pt idx="79">
                  <c:v>208767.62260738699</c:v>
                </c:pt>
                <c:pt idx="80">
                  <c:v>209131.248869095</c:v>
                </c:pt>
                <c:pt idx="81">
                  <c:v>209494.87513080399</c:v>
                </c:pt>
                <c:pt idx="82">
                  <c:v>209858.501392512</c:v>
                </c:pt>
                <c:pt idx="83">
                  <c:v>210222.12765422001</c:v>
                </c:pt>
                <c:pt idx="84">
                  <c:v>210585.75391592801</c:v>
                </c:pt>
                <c:pt idx="85">
                  <c:v>210949.38017763599</c:v>
                </c:pt>
                <c:pt idx="86">
                  <c:v>211313.00643934499</c:v>
                </c:pt>
                <c:pt idx="87">
                  <c:v>211676.63270105299</c:v>
                </c:pt>
                <c:pt idx="88">
                  <c:v>212040.258962761</c:v>
                </c:pt>
                <c:pt idx="89">
                  <c:v>212403.88522446901</c:v>
                </c:pt>
                <c:pt idx="90">
                  <c:v>212767.51148617701</c:v>
                </c:pt>
                <c:pt idx="91">
                  <c:v>213131.13774788499</c:v>
                </c:pt>
                <c:pt idx="92">
                  <c:v>213494.76400959399</c:v>
                </c:pt>
                <c:pt idx="93">
                  <c:v>213858.39027130199</c:v>
                </c:pt>
                <c:pt idx="94">
                  <c:v>214222.01653301</c:v>
                </c:pt>
                <c:pt idx="95">
                  <c:v>214585.64279471801</c:v>
                </c:pt>
                <c:pt idx="96">
                  <c:v>214949.26905642601</c:v>
                </c:pt>
                <c:pt idx="97">
                  <c:v>215312.89531813501</c:v>
                </c:pt>
                <c:pt idx="98">
                  <c:v>215676.52157984301</c:v>
                </c:pt>
                <c:pt idx="99">
                  <c:v>216040.14784155099</c:v>
                </c:pt>
              </c:numCache>
            </c:numRef>
          </c:xVal>
          <c:yVal>
            <c:numRef>
              <c:f>Sheet1_2!$M$2:$M$101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37-4684-8638-F1487D4A5E53}"/>
            </c:ext>
          </c:extLst>
        </c:ser>
        <c:ser>
          <c:idx val="6"/>
          <c:order val="6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0E620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Sheet1_2!$N$2:$N$101</c:f>
              <c:numCache>
                <c:formatCode>General</c:formatCode>
                <c:ptCount val="100"/>
                <c:pt idx="0">
                  <c:v>216046.54665853499</c:v>
                </c:pt>
                <c:pt idx="1">
                  <c:v>216410.172920243</c:v>
                </c:pt>
                <c:pt idx="2">
                  <c:v>216773.79918195101</c:v>
                </c:pt>
                <c:pt idx="3">
                  <c:v>217137.42544366</c:v>
                </c:pt>
                <c:pt idx="4">
                  <c:v>217501.05170536801</c:v>
                </c:pt>
                <c:pt idx="5">
                  <c:v>217864.67796707599</c:v>
                </c:pt>
                <c:pt idx="6">
                  <c:v>218228.30422878399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219682.80927561701</c:v>
                </c:pt>
                <c:pt idx="11">
                  <c:v>220046.43553732499</c:v>
                </c:pt>
                <c:pt idx="12">
                  <c:v>220410.06179903299</c:v>
                </c:pt>
                <c:pt idx="13">
                  <c:v>220773.68806074199</c:v>
                </c:pt>
                <c:pt idx="14">
                  <c:v>221137.31432244999</c:v>
                </c:pt>
                <c:pt idx="15">
                  <c:v>221500.940584158</c:v>
                </c:pt>
                <c:pt idx="16">
                  <c:v>221864.56684586601</c:v>
                </c:pt>
                <c:pt idx="17">
                  <c:v>222228.19310757401</c:v>
                </c:pt>
                <c:pt idx="18">
                  <c:v>222591.81936928199</c:v>
                </c:pt>
                <c:pt idx="19">
                  <c:v>222955.44563099099</c:v>
                </c:pt>
                <c:pt idx="20">
                  <c:v>223319.07189269899</c:v>
                </c:pt>
                <c:pt idx="21">
                  <c:v>223682.698154407</c:v>
                </c:pt>
                <c:pt idx="22">
                  <c:v>224046.32441611501</c:v>
                </c:pt>
                <c:pt idx="23">
                  <c:v>224409.95067782301</c:v>
                </c:pt>
                <c:pt idx="24">
                  <c:v>224773.57693953201</c:v>
                </c:pt>
                <c:pt idx="25">
                  <c:v>225137.20320123999</c:v>
                </c:pt>
                <c:pt idx="26">
                  <c:v>225500.82946294799</c:v>
                </c:pt>
                <c:pt idx="27">
                  <c:v>225864.455724656</c:v>
                </c:pt>
                <c:pt idx="28">
                  <c:v>226228.08198636401</c:v>
                </c:pt>
                <c:pt idx="29">
                  <c:v>226591.708248073</c:v>
                </c:pt>
                <c:pt idx="30">
                  <c:v>226955.33450978101</c:v>
                </c:pt>
                <c:pt idx="31">
                  <c:v>227318.96077148899</c:v>
                </c:pt>
                <c:pt idx="32">
                  <c:v>227682.58703319699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229137.09208003001</c:v>
                </c:pt>
                <c:pt idx="37">
                  <c:v>229500.71834173799</c:v>
                </c:pt>
                <c:pt idx="38">
                  <c:v>229864.34460344599</c:v>
                </c:pt>
                <c:pt idx="39">
                  <c:v>230227.97086515499</c:v>
                </c:pt>
                <c:pt idx="40">
                  <c:v>230591.59712686299</c:v>
                </c:pt>
                <c:pt idx="41">
                  <c:v>230955.223388571</c:v>
                </c:pt>
                <c:pt idx="42">
                  <c:v>231318.84965027901</c:v>
                </c:pt>
                <c:pt idx="43">
                  <c:v>231682.47591198701</c:v>
                </c:pt>
                <c:pt idx="44">
                  <c:v>232046.10217369499</c:v>
                </c:pt>
                <c:pt idx="45">
                  <c:v>232409.72843540399</c:v>
                </c:pt>
                <c:pt idx="46">
                  <c:v>232773.35469711199</c:v>
                </c:pt>
                <c:pt idx="47">
                  <c:v>233136.98095882</c:v>
                </c:pt>
                <c:pt idx="48">
                  <c:v>233500.60722052801</c:v>
                </c:pt>
                <c:pt idx="49">
                  <c:v>233864.23348223601</c:v>
                </c:pt>
                <c:pt idx="50">
                  <c:v>234227.85974394501</c:v>
                </c:pt>
                <c:pt idx="51">
                  <c:v>234591.48600565299</c:v>
                </c:pt>
                <c:pt idx="52">
                  <c:v>234955.11226736099</c:v>
                </c:pt>
                <c:pt idx="53">
                  <c:v>235318.738529069</c:v>
                </c:pt>
                <c:pt idx="54">
                  <c:v>235682.36479077701</c:v>
                </c:pt>
                <c:pt idx="55">
                  <c:v>236045.991052486</c:v>
                </c:pt>
                <c:pt idx="56">
                  <c:v>236409.61731419401</c:v>
                </c:pt>
                <c:pt idx="57">
                  <c:v>236773.24357590199</c:v>
                </c:pt>
                <c:pt idx="58">
                  <c:v>237136.86983760999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238591.37488444301</c:v>
                </c:pt>
                <c:pt idx="63">
                  <c:v>238955.00114615099</c:v>
                </c:pt>
                <c:pt idx="64">
                  <c:v>239318.62740785899</c:v>
                </c:pt>
                <c:pt idx="65">
                  <c:v>239682.253669567</c:v>
                </c:pt>
                <c:pt idx="66">
                  <c:v>240045.87993127599</c:v>
                </c:pt>
                <c:pt idx="67">
                  <c:v>240409.506192984</c:v>
                </c:pt>
                <c:pt idx="68">
                  <c:v>240773.13245469201</c:v>
                </c:pt>
                <c:pt idx="69">
                  <c:v>241136.75871640001</c:v>
                </c:pt>
                <c:pt idx="70">
                  <c:v>241500.38497810799</c:v>
                </c:pt>
                <c:pt idx="71">
                  <c:v>241864.01123981699</c:v>
                </c:pt>
                <c:pt idx="72">
                  <c:v>242227.63750152499</c:v>
                </c:pt>
                <c:pt idx="73">
                  <c:v>242591.263763233</c:v>
                </c:pt>
                <c:pt idx="74">
                  <c:v>242954.89002494101</c:v>
                </c:pt>
                <c:pt idx="75">
                  <c:v>243318.51628664901</c:v>
                </c:pt>
                <c:pt idx="76">
                  <c:v>243682.14254835801</c:v>
                </c:pt>
                <c:pt idx="77">
                  <c:v>244045.76881006599</c:v>
                </c:pt>
                <c:pt idx="78">
                  <c:v>244409.39507177399</c:v>
                </c:pt>
                <c:pt idx="79">
                  <c:v>244773.021333482</c:v>
                </c:pt>
                <c:pt idx="80">
                  <c:v>245136.64759519001</c:v>
                </c:pt>
                <c:pt idx="81">
                  <c:v>245500.273856899</c:v>
                </c:pt>
                <c:pt idx="82">
                  <c:v>245863.90011860701</c:v>
                </c:pt>
                <c:pt idx="83">
                  <c:v>246227.52638031499</c:v>
                </c:pt>
                <c:pt idx="84">
                  <c:v>246591.15264202299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248045.65768885601</c:v>
                </c:pt>
                <c:pt idx="89">
                  <c:v>248409.28395056399</c:v>
                </c:pt>
                <c:pt idx="90">
                  <c:v>248772.91021227199</c:v>
                </c:pt>
                <c:pt idx="91">
                  <c:v>249136.53647398</c:v>
                </c:pt>
                <c:pt idx="92">
                  <c:v>249500.16273568899</c:v>
                </c:pt>
                <c:pt idx="93">
                  <c:v>249863.788997397</c:v>
                </c:pt>
                <c:pt idx="94">
                  <c:v>250227.41525910501</c:v>
                </c:pt>
                <c:pt idx="95">
                  <c:v>250591.04152081301</c:v>
                </c:pt>
                <c:pt idx="96">
                  <c:v>250954.66778252099</c:v>
                </c:pt>
                <c:pt idx="97">
                  <c:v>251318.29404422999</c:v>
                </c:pt>
                <c:pt idx="98">
                  <c:v>251681.92030593799</c:v>
                </c:pt>
                <c:pt idx="99">
                  <c:v>252045.546567646</c:v>
                </c:pt>
              </c:numCache>
            </c:numRef>
          </c:xVal>
          <c:yVal>
            <c:numRef>
              <c:f>Sheet1_2!$O$2:$O$101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37-4684-8638-F1487D4A5E53}"/>
            </c:ext>
          </c:extLst>
        </c:ser>
        <c:ser>
          <c:idx val="7"/>
          <c:order val="7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023F6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Sheet1_2!$P$2:$P$101</c:f>
              <c:numCache>
                <c:formatCode>General</c:formatCode>
                <c:ptCount val="100"/>
                <c:pt idx="0">
                  <c:v>252049.97396763499</c:v>
                </c:pt>
                <c:pt idx="1">
                  <c:v>252413.60022934299</c:v>
                </c:pt>
                <c:pt idx="2">
                  <c:v>252777.226491051</c:v>
                </c:pt>
                <c:pt idx="3">
                  <c:v>253140.85275275999</c:v>
                </c:pt>
                <c:pt idx="4">
                  <c:v>253504.479014468</c:v>
                </c:pt>
                <c:pt idx="5">
                  <c:v>253868.10527617601</c:v>
                </c:pt>
                <c:pt idx="6">
                  <c:v>254231.73153788401</c:v>
                </c:pt>
                <c:pt idx="7">
                  <c:v>254595.35779959199</c:v>
                </c:pt>
                <c:pt idx="8">
                  <c:v>254958.98406130099</c:v>
                </c:pt>
                <c:pt idx="9">
                  <c:v>255322.61032300899</c:v>
                </c:pt>
                <c:pt idx="10">
                  <c:v>255686.236584717</c:v>
                </c:pt>
                <c:pt idx="11">
                  <c:v>256049.86284642501</c:v>
                </c:pt>
                <c:pt idx="12">
                  <c:v>256413.48910813301</c:v>
                </c:pt>
                <c:pt idx="13">
                  <c:v>256777.11536984201</c:v>
                </c:pt>
                <c:pt idx="14">
                  <c:v>257140.74163154999</c:v>
                </c:pt>
                <c:pt idx="15">
                  <c:v>257504.36789325799</c:v>
                </c:pt>
                <c:pt idx="16">
                  <c:v>257867.994154966</c:v>
                </c:pt>
                <c:pt idx="17">
                  <c:v>258231.62041667401</c:v>
                </c:pt>
                <c:pt idx="18">
                  <c:v>258595.24667838201</c:v>
                </c:pt>
                <c:pt idx="19">
                  <c:v>258958.87294009101</c:v>
                </c:pt>
                <c:pt idx="20">
                  <c:v>259322.49920179899</c:v>
                </c:pt>
                <c:pt idx="21">
                  <c:v>259686.12546350699</c:v>
                </c:pt>
                <c:pt idx="22">
                  <c:v>260049.751725215</c:v>
                </c:pt>
                <c:pt idx="23">
                  <c:v>260413.37798692301</c:v>
                </c:pt>
                <c:pt idx="24">
                  <c:v>260777.004248632</c:v>
                </c:pt>
                <c:pt idx="25">
                  <c:v>261140.63051034001</c:v>
                </c:pt>
                <c:pt idx="26">
                  <c:v>261504.25677204799</c:v>
                </c:pt>
                <c:pt idx="27">
                  <c:v>261867.88303375599</c:v>
                </c:pt>
                <c:pt idx="28">
                  <c:v>262231.50929546403</c:v>
                </c:pt>
                <c:pt idx="29">
                  <c:v>262595.13555717299</c:v>
                </c:pt>
                <c:pt idx="30">
                  <c:v>262958.76181888097</c:v>
                </c:pt>
                <c:pt idx="31">
                  <c:v>263322.38808058901</c:v>
                </c:pt>
                <c:pt idx="32">
                  <c:v>263686.01434229698</c:v>
                </c:pt>
                <c:pt idx="33">
                  <c:v>264049.64060400502</c:v>
                </c:pt>
                <c:pt idx="34">
                  <c:v>264413.26686571399</c:v>
                </c:pt>
                <c:pt idx="35">
                  <c:v>264776.89312742202</c:v>
                </c:pt>
                <c:pt idx="36">
                  <c:v>265140.51938913</c:v>
                </c:pt>
                <c:pt idx="37">
                  <c:v>265504.14565083798</c:v>
                </c:pt>
                <c:pt idx="38">
                  <c:v>265867.77191254601</c:v>
                </c:pt>
                <c:pt idx="39">
                  <c:v>266231.39817425399</c:v>
                </c:pt>
                <c:pt idx="40">
                  <c:v>266595.02443596302</c:v>
                </c:pt>
                <c:pt idx="41">
                  <c:v>266958.65069767099</c:v>
                </c:pt>
                <c:pt idx="42">
                  <c:v>267322.27695937903</c:v>
                </c:pt>
                <c:pt idx="43">
                  <c:v>267685.90322108701</c:v>
                </c:pt>
                <c:pt idx="44">
                  <c:v>268049.52948279498</c:v>
                </c:pt>
                <c:pt idx="45">
                  <c:v>268413.15574450401</c:v>
                </c:pt>
                <c:pt idx="46">
                  <c:v>268776.78200621199</c:v>
                </c:pt>
                <c:pt idx="47">
                  <c:v>269140.40826792002</c:v>
                </c:pt>
                <c:pt idx="48">
                  <c:v>269504.034529628</c:v>
                </c:pt>
                <c:pt idx="49">
                  <c:v>269867.66079133598</c:v>
                </c:pt>
                <c:pt idx="50">
                  <c:v>270231.287053045</c:v>
                </c:pt>
                <c:pt idx="51">
                  <c:v>270594.91331475298</c:v>
                </c:pt>
                <c:pt idx="52">
                  <c:v>270958.53957646101</c:v>
                </c:pt>
                <c:pt idx="53">
                  <c:v>271322.16583816899</c:v>
                </c:pt>
                <c:pt idx="54">
                  <c:v>271685.79209987703</c:v>
                </c:pt>
                <c:pt idx="55">
                  <c:v>272049.41836158599</c:v>
                </c:pt>
                <c:pt idx="56">
                  <c:v>272413.04462329397</c:v>
                </c:pt>
                <c:pt idx="57">
                  <c:v>272776.67088500201</c:v>
                </c:pt>
                <c:pt idx="58">
                  <c:v>273140.29714670999</c:v>
                </c:pt>
                <c:pt idx="59">
                  <c:v>273503.92340841802</c:v>
                </c:pt>
                <c:pt idx="60">
                  <c:v>273867.54967012699</c:v>
                </c:pt>
                <c:pt idx="61">
                  <c:v>274231.17593183502</c:v>
                </c:pt>
                <c:pt idx="62">
                  <c:v>274594.802193543</c:v>
                </c:pt>
                <c:pt idx="63">
                  <c:v>274958.42845525098</c:v>
                </c:pt>
                <c:pt idx="64">
                  <c:v>275322.05471695901</c:v>
                </c:pt>
                <c:pt idx="65">
                  <c:v>275685.68097866699</c:v>
                </c:pt>
                <c:pt idx="66">
                  <c:v>276049.30724037602</c:v>
                </c:pt>
                <c:pt idx="67">
                  <c:v>276412.93350208399</c:v>
                </c:pt>
                <c:pt idx="68">
                  <c:v>276776.55976379197</c:v>
                </c:pt>
                <c:pt idx="69">
                  <c:v>277140.18602550001</c:v>
                </c:pt>
                <c:pt idx="70">
                  <c:v>277503.81228720798</c:v>
                </c:pt>
                <c:pt idx="71">
                  <c:v>277867.43854891701</c:v>
                </c:pt>
                <c:pt idx="72">
                  <c:v>278231.06481062499</c:v>
                </c:pt>
                <c:pt idx="73">
                  <c:v>278594.69107233302</c:v>
                </c:pt>
                <c:pt idx="74">
                  <c:v>278958.317334041</c:v>
                </c:pt>
                <c:pt idx="75">
                  <c:v>279321.94359574898</c:v>
                </c:pt>
                <c:pt idx="76">
                  <c:v>279685.569857458</c:v>
                </c:pt>
                <c:pt idx="77">
                  <c:v>280049.19611916598</c:v>
                </c:pt>
                <c:pt idx="78">
                  <c:v>280412.82238087401</c:v>
                </c:pt>
                <c:pt idx="79">
                  <c:v>280776.44864258199</c:v>
                </c:pt>
                <c:pt idx="80">
                  <c:v>281140.07490429003</c:v>
                </c:pt>
                <c:pt idx="81">
                  <c:v>281503.70116599899</c:v>
                </c:pt>
                <c:pt idx="82">
                  <c:v>281867.32742770697</c:v>
                </c:pt>
                <c:pt idx="83">
                  <c:v>282230.95368941501</c:v>
                </c:pt>
                <c:pt idx="84">
                  <c:v>282594.57995112299</c:v>
                </c:pt>
                <c:pt idx="85">
                  <c:v>282958.20621283102</c:v>
                </c:pt>
                <c:pt idx="86">
                  <c:v>283321.83247453999</c:v>
                </c:pt>
                <c:pt idx="87">
                  <c:v>283685.45873624802</c:v>
                </c:pt>
                <c:pt idx="88">
                  <c:v>284049.084997956</c:v>
                </c:pt>
                <c:pt idx="89">
                  <c:v>284412.71125966398</c:v>
                </c:pt>
                <c:pt idx="90">
                  <c:v>284776.33752137201</c:v>
                </c:pt>
                <c:pt idx="91">
                  <c:v>285139.96378307999</c:v>
                </c:pt>
                <c:pt idx="92">
                  <c:v>285503.59004478902</c:v>
                </c:pt>
                <c:pt idx="93">
                  <c:v>285867.21630649699</c:v>
                </c:pt>
                <c:pt idx="94">
                  <c:v>286230.84256820497</c:v>
                </c:pt>
                <c:pt idx="95">
                  <c:v>286594.46882991301</c:v>
                </c:pt>
                <c:pt idx="96">
                  <c:v>286958.09509162098</c:v>
                </c:pt>
                <c:pt idx="97">
                  <c:v>287321.72135333001</c:v>
                </c:pt>
                <c:pt idx="98">
                  <c:v>287685.34761503799</c:v>
                </c:pt>
                <c:pt idx="99">
                  <c:v>288048.97387674602</c:v>
                </c:pt>
              </c:numCache>
            </c:numRef>
          </c:xVal>
          <c:yVal>
            <c:numRef>
              <c:f>Sheet1_2!$Q$2:$Q$101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37-4684-8638-F1487D4A5E53}"/>
            </c:ext>
          </c:extLst>
        </c:ser>
        <c:ser>
          <c:idx val="8"/>
          <c:order val="8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62250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Sheet1_2!$R$2:$R$101</c:f>
              <c:numCache>
                <c:formatCode>General</c:formatCode>
                <c:ptCount val="100"/>
                <c:pt idx="0">
                  <c:v>288055.55969672999</c:v>
                </c:pt>
                <c:pt idx="1">
                  <c:v>288419.18595843803</c:v>
                </c:pt>
                <c:pt idx="2">
                  <c:v>288782.81222014601</c:v>
                </c:pt>
                <c:pt idx="3">
                  <c:v>289146.43848185497</c:v>
                </c:pt>
                <c:pt idx="4">
                  <c:v>289510.06474356301</c:v>
                </c:pt>
                <c:pt idx="5">
                  <c:v>289873.69100527099</c:v>
                </c:pt>
                <c:pt idx="6">
                  <c:v>290237.31726697902</c:v>
                </c:pt>
                <c:pt idx="7">
                  <c:v>290600.943528687</c:v>
                </c:pt>
                <c:pt idx="8">
                  <c:v>290964.56979039602</c:v>
                </c:pt>
                <c:pt idx="9">
                  <c:v>291328.196052104</c:v>
                </c:pt>
                <c:pt idx="10">
                  <c:v>291691.82231381198</c:v>
                </c:pt>
                <c:pt idx="11">
                  <c:v>292055.44857552001</c:v>
                </c:pt>
                <c:pt idx="12">
                  <c:v>292419.07483722799</c:v>
                </c:pt>
                <c:pt idx="13">
                  <c:v>292782.70109893702</c:v>
                </c:pt>
                <c:pt idx="14">
                  <c:v>293146.32736064499</c:v>
                </c:pt>
                <c:pt idx="15">
                  <c:v>293509.95362235297</c:v>
                </c:pt>
                <c:pt idx="16">
                  <c:v>293873.57988406101</c:v>
                </c:pt>
                <c:pt idx="17">
                  <c:v>294237.20614576899</c:v>
                </c:pt>
                <c:pt idx="18">
                  <c:v>294600.83240747702</c:v>
                </c:pt>
                <c:pt idx="19">
                  <c:v>294964.45866918599</c:v>
                </c:pt>
                <c:pt idx="20">
                  <c:v>295328.08493089402</c:v>
                </c:pt>
                <c:pt idx="21">
                  <c:v>295691.711192602</c:v>
                </c:pt>
                <c:pt idx="22">
                  <c:v>296055.33745430998</c:v>
                </c:pt>
                <c:pt idx="23">
                  <c:v>296418.96371601801</c:v>
                </c:pt>
                <c:pt idx="24">
                  <c:v>296782.58997772698</c:v>
                </c:pt>
                <c:pt idx="25">
                  <c:v>297146.21623943502</c:v>
                </c:pt>
                <c:pt idx="26">
                  <c:v>297509.84250114299</c:v>
                </c:pt>
                <c:pt idx="27">
                  <c:v>297873.46876285097</c:v>
                </c:pt>
                <c:pt idx="28">
                  <c:v>298237.09502455901</c:v>
                </c:pt>
                <c:pt idx="29">
                  <c:v>298600.72128626797</c:v>
                </c:pt>
                <c:pt idx="30">
                  <c:v>298964.34754797601</c:v>
                </c:pt>
                <c:pt idx="31">
                  <c:v>299327.97380968399</c:v>
                </c:pt>
                <c:pt idx="32">
                  <c:v>299691.60007139202</c:v>
                </c:pt>
                <c:pt idx="33">
                  <c:v>300055.2263331</c:v>
                </c:pt>
                <c:pt idx="34">
                  <c:v>300418.85259480902</c:v>
                </c:pt>
                <c:pt idx="35">
                  <c:v>300782.478856517</c:v>
                </c:pt>
                <c:pt idx="36">
                  <c:v>301146.10511822498</c:v>
                </c:pt>
                <c:pt idx="37">
                  <c:v>301509.73137993301</c:v>
                </c:pt>
                <c:pt idx="38">
                  <c:v>301873.35764164099</c:v>
                </c:pt>
                <c:pt idx="39">
                  <c:v>302236.98390335002</c:v>
                </c:pt>
                <c:pt idx="40">
                  <c:v>302600.61016505799</c:v>
                </c:pt>
                <c:pt idx="41">
                  <c:v>302964.23642676597</c:v>
                </c:pt>
                <c:pt idx="42">
                  <c:v>303327.86268847401</c:v>
                </c:pt>
                <c:pt idx="43">
                  <c:v>303691.48895018199</c:v>
                </c:pt>
                <c:pt idx="44">
                  <c:v>304055.11521189002</c:v>
                </c:pt>
                <c:pt idx="45">
                  <c:v>304418.74147359899</c:v>
                </c:pt>
                <c:pt idx="46">
                  <c:v>304782.36773530702</c:v>
                </c:pt>
                <c:pt idx="47">
                  <c:v>305145.993997015</c:v>
                </c:pt>
                <c:pt idx="48">
                  <c:v>305509.62025872298</c:v>
                </c:pt>
                <c:pt idx="49">
                  <c:v>305873.24652043101</c:v>
                </c:pt>
                <c:pt idx="50">
                  <c:v>306236.87278213998</c:v>
                </c:pt>
                <c:pt idx="51">
                  <c:v>306600.49904384802</c:v>
                </c:pt>
                <c:pt idx="52">
                  <c:v>306964.12530555599</c:v>
                </c:pt>
                <c:pt idx="53">
                  <c:v>307327.75156726397</c:v>
                </c:pt>
                <c:pt idx="54">
                  <c:v>307691.37782897201</c:v>
                </c:pt>
                <c:pt idx="55">
                  <c:v>308055.00409068097</c:v>
                </c:pt>
                <c:pt idx="56">
                  <c:v>308418.63035238901</c:v>
                </c:pt>
                <c:pt idx="57">
                  <c:v>308782.25661409699</c:v>
                </c:pt>
                <c:pt idx="58">
                  <c:v>309145.88287580502</c:v>
                </c:pt>
                <c:pt idx="59">
                  <c:v>309509.509137513</c:v>
                </c:pt>
                <c:pt idx="60">
                  <c:v>309873.13539922202</c:v>
                </c:pt>
                <c:pt idx="61">
                  <c:v>310236.76166093</c:v>
                </c:pt>
                <c:pt idx="62">
                  <c:v>310600.38792263798</c:v>
                </c:pt>
                <c:pt idx="63">
                  <c:v>310964.01418434602</c:v>
                </c:pt>
                <c:pt idx="64">
                  <c:v>311327.64044605399</c:v>
                </c:pt>
                <c:pt idx="65">
                  <c:v>311691.26670776302</c:v>
                </c:pt>
                <c:pt idx="66">
                  <c:v>312054.892969471</c:v>
                </c:pt>
                <c:pt idx="67">
                  <c:v>312418.51923117897</c:v>
                </c:pt>
                <c:pt idx="68">
                  <c:v>312782.14549288701</c:v>
                </c:pt>
                <c:pt idx="69">
                  <c:v>313145.77175459499</c:v>
                </c:pt>
                <c:pt idx="70">
                  <c:v>313509.39801630302</c:v>
                </c:pt>
                <c:pt idx="71">
                  <c:v>313873.02427801199</c:v>
                </c:pt>
                <c:pt idx="72">
                  <c:v>314236.65053972002</c:v>
                </c:pt>
                <c:pt idx="73">
                  <c:v>314600.276801428</c:v>
                </c:pt>
                <c:pt idx="74">
                  <c:v>314963.90306313598</c:v>
                </c:pt>
                <c:pt idx="75">
                  <c:v>315327.52932484401</c:v>
                </c:pt>
                <c:pt idx="76">
                  <c:v>315691.15558655298</c:v>
                </c:pt>
                <c:pt idx="77">
                  <c:v>316054.78184826102</c:v>
                </c:pt>
                <c:pt idx="78">
                  <c:v>316418.40810996899</c:v>
                </c:pt>
                <c:pt idx="79">
                  <c:v>316782.03437167697</c:v>
                </c:pt>
                <c:pt idx="80">
                  <c:v>317145.66063338501</c:v>
                </c:pt>
                <c:pt idx="81">
                  <c:v>317509.28689509397</c:v>
                </c:pt>
                <c:pt idx="82">
                  <c:v>317872.91315680201</c:v>
                </c:pt>
                <c:pt idx="83">
                  <c:v>318236.53941850999</c:v>
                </c:pt>
                <c:pt idx="84">
                  <c:v>318600.16568021802</c:v>
                </c:pt>
                <c:pt idx="85">
                  <c:v>318963.791941926</c:v>
                </c:pt>
                <c:pt idx="86">
                  <c:v>319327.41820363502</c:v>
                </c:pt>
                <c:pt idx="87">
                  <c:v>319691.044465343</c:v>
                </c:pt>
                <c:pt idx="88">
                  <c:v>320054.67072705098</c:v>
                </c:pt>
                <c:pt idx="89">
                  <c:v>320418.29698875902</c:v>
                </c:pt>
                <c:pt idx="90">
                  <c:v>320781.92325046699</c:v>
                </c:pt>
                <c:pt idx="91">
                  <c:v>321145.54951217602</c:v>
                </c:pt>
                <c:pt idx="92">
                  <c:v>321509.175773884</c:v>
                </c:pt>
                <c:pt idx="93">
                  <c:v>321872.80203559197</c:v>
                </c:pt>
                <c:pt idx="94">
                  <c:v>322236.42829730001</c:v>
                </c:pt>
                <c:pt idx="95">
                  <c:v>322600.05455900799</c:v>
                </c:pt>
                <c:pt idx="96">
                  <c:v>322963.68082071602</c:v>
                </c:pt>
                <c:pt idx="97">
                  <c:v>323327.30708242499</c:v>
                </c:pt>
                <c:pt idx="98">
                  <c:v>323690.93334413302</c:v>
                </c:pt>
                <c:pt idx="99">
                  <c:v>324054.559605841</c:v>
                </c:pt>
              </c:numCache>
            </c:numRef>
          </c:xVal>
          <c:yVal>
            <c:numRef>
              <c:f>Sheet1_2!$S$2:$S$101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37-4684-8638-F1487D4A5E53}"/>
            </c:ext>
          </c:extLst>
        </c:ser>
        <c:ser>
          <c:idx val="9"/>
          <c:order val="9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55026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Sheet1_2!$T$2:$T$101</c:f>
              <c:numCache>
                <c:formatCode>General</c:formatCode>
                <c:ptCount val="100"/>
                <c:pt idx="0">
                  <c:v>324059.01900582999</c:v>
                </c:pt>
                <c:pt idx="1">
                  <c:v>324422.64526753803</c:v>
                </c:pt>
                <c:pt idx="2">
                  <c:v>324786.27152924601</c:v>
                </c:pt>
                <c:pt idx="3">
                  <c:v>325149.89779095497</c:v>
                </c:pt>
                <c:pt idx="4">
                  <c:v>325513.52405266301</c:v>
                </c:pt>
                <c:pt idx="5">
                  <c:v>325877.15031437099</c:v>
                </c:pt>
                <c:pt idx="6">
                  <c:v>326240.77657607902</c:v>
                </c:pt>
                <c:pt idx="7">
                  <c:v>326604.402837787</c:v>
                </c:pt>
                <c:pt idx="8">
                  <c:v>326968.02909949602</c:v>
                </c:pt>
                <c:pt idx="9">
                  <c:v>327331.655361204</c:v>
                </c:pt>
                <c:pt idx="10">
                  <c:v>327695.28162291198</c:v>
                </c:pt>
                <c:pt idx="11">
                  <c:v>328058.90788462001</c:v>
                </c:pt>
                <c:pt idx="12">
                  <c:v>328422.53414632799</c:v>
                </c:pt>
                <c:pt idx="13">
                  <c:v>328786.16040803702</c:v>
                </c:pt>
                <c:pt idx="14">
                  <c:v>329149.78666974499</c:v>
                </c:pt>
                <c:pt idx="15">
                  <c:v>329513.41293145297</c:v>
                </c:pt>
                <c:pt idx="16">
                  <c:v>329877.03919316101</c:v>
                </c:pt>
                <c:pt idx="17">
                  <c:v>330240.66545486898</c:v>
                </c:pt>
                <c:pt idx="18">
                  <c:v>330604.29171657702</c:v>
                </c:pt>
                <c:pt idx="19">
                  <c:v>330967.91797828599</c:v>
                </c:pt>
                <c:pt idx="20">
                  <c:v>331331.54423999402</c:v>
                </c:pt>
                <c:pt idx="21">
                  <c:v>331695.170501702</c:v>
                </c:pt>
                <c:pt idx="22">
                  <c:v>332058.79676340998</c:v>
                </c:pt>
                <c:pt idx="23">
                  <c:v>332422.42302511801</c:v>
                </c:pt>
                <c:pt idx="24">
                  <c:v>332786.04928682698</c:v>
                </c:pt>
                <c:pt idx="25">
                  <c:v>333149.67554853501</c:v>
                </c:pt>
                <c:pt idx="26">
                  <c:v>333513.30181024299</c:v>
                </c:pt>
                <c:pt idx="27">
                  <c:v>333876.92807195103</c:v>
                </c:pt>
                <c:pt idx="28">
                  <c:v>334240.55433365901</c:v>
                </c:pt>
                <c:pt idx="29">
                  <c:v>334604.18059536797</c:v>
                </c:pt>
                <c:pt idx="30">
                  <c:v>334967.80685707601</c:v>
                </c:pt>
                <c:pt idx="31">
                  <c:v>335331.43311878399</c:v>
                </c:pt>
                <c:pt idx="32">
                  <c:v>335695.05938049202</c:v>
                </c:pt>
                <c:pt idx="33">
                  <c:v>336058.6856422</c:v>
                </c:pt>
                <c:pt idx="34">
                  <c:v>336422.31190390902</c:v>
                </c:pt>
                <c:pt idx="35">
                  <c:v>336785.938165617</c:v>
                </c:pt>
                <c:pt idx="36">
                  <c:v>337149.56442732498</c:v>
                </c:pt>
                <c:pt idx="37">
                  <c:v>337513.19068903301</c:v>
                </c:pt>
                <c:pt idx="38">
                  <c:v>337876.81695074099</c:v>
                </c:pt>
                <c:pt idx="39">
                  <c:v>338240.44321245002</c:v>
                </c:pt>
                <c:pt idx="40">
                  <c:v>338604.06947415799</c:v>
                </c:pt>
                <c:pt idx="41">
                  <c:v>338967.69573586597</c:v>
                </c:pt>
                <c:pt idx="42">
                  <c:v>339331.32199757401</c:v>
                </c:pt>
                <c:pt idx="43">
                  <c:v>339694.94825928198</c:v>
                </c:pt>
                <c:pt idx="44">
                  <c:v>340058.57452099002</c:v>
                </c:pt>
                <c:pt idx="45">
                  <c:v>340422.20078269899</c:v>
                </c:pt>
                <c:pt idx="46">
                  <c:v>340785.82704440702</c:v>
                </c:pt>
                <c:pt idx="47">
                  <c:v>341149.453306115</c:v>
                </c:pt>
                <c:pt idx="48">
                  <c:v>341513.07956782298</c:v>
                </c:pt>
                <c:pt idx="49">
                  <c:v>341876.70582953101</c:v>
                </c:pt>
                <c:pt idx="50">
                  <c:v>342240.33209123998</c:v>
                </c:pt>
                <c:pt idx="51">
                  <c:v>342603.95835294802</c:v>
                </c:pt>
                <c:pt idx="52">
                  <c:v>342967.58461465599</c:v>
                </c:pt>
                <c:pt idx="53">
                  <c:v>343331.21087636403</c:v>
                </c:pt>
                <c:pt idx="54">
                  <c:v>343694.83713807201</c:v>
                </c:pt>
                <c:pt idx="55">
                  <c:v>344058.46339978097</c:v>
                </c:pt>
                <c:pt idx="56">
                  <c:v>344422.08966148901</c:v>
                </c:pt>
                <c:pt idx="57">
                  <c:v>344785.71592319699</c:v>
                </c:pt>
                <c:pt idx="58">
                  <c:v>345149.34218490502</c:v>
                </c:pt>
                <c:pt idx="59">
                  <c:v>345512.968446613</c:v>
                </c:pt>
                <c:pt idx="60">
                  <c:v>345876.59470832202</c:v>
                </c:pt>
                <c:pt idx="61">
                  <c:v>346240.22097003</c:v>
                </c:pt>
                <c:pt idx="62">
                  <c:v>346603.84723173798</c:v>
                </c:pt>
                <c:pt idx="63">
                  <c:v>346967.47349344601</c:v>
                </c:pt>
                <c:pt idx="64">
                  <c:v>347331.09975515399</c:v>
                </c:pt>
                <c:pt idx="65">
                  <c:v>347694.72601686302</c:v>
                </c:pt>
                <c:pt idx="66">
                  <c:v>348058.35227857099</c:v>
                </c:pt>
                <c:pt idx="67">
                  <c:v>348421.97854027897</c:v>
                </c:pt>
                <c:pt idx="68">
                  <c:v>348785.60480198701</c:v>
                </c:pt>
                <c:pt idx="69">
                  <c:v>349149.23106369498</c:v>
                </c:pt>
                <c:pt idx="70">
                  <c:v>349512.85732540302</c:v>
                </c:pt>
                <c:pt idx="71">
                  <c:v>349876.48358711199</c:v>
                </c:pt>
                <c:pt idx="72">
                  <c:v>350240.10984882002</c:v>
                </c:pt>
                <c:pt idx="73">
                  <c:v>350603.736110528</c:v>
                </c:pt>
                <c:pt idx="74">
                  <c:v>350967.36237223598</c:v>
                </c:pt>
                <c:pt idx="75">
                  <c:v>351330.98863394401</c:v>
                </c:pt>
                <c:pt idx="76">
                  <c:v>351694.61489565298</c:v>
                </c:pt>
                <c:pt idx="77">
                  <c:v>352058.24115736102</c:v>
                </c:pt>
                <c:pt idx="78">
                  <c:v>352421.86741906899</c:v>
                </c:pt>
                <c:pt idx="79">
                  <c:v>352785.49368077703</c:v>
                </c:pt>
                <c:pt idx="80">
                  <c:v>353149.11994248501</c:v>
                </c:pt>
                <c:pt idx="81">
                  <c:v>353512.74620419397</c:v>
                </c:pt>
                <c:pt idx="82">
                  <c:v>353876.37246590201</c:v>
                </c:pt>
                <c:pt idx="83">
                  <c:v>354239.99872760999</c:v>
                </c:pt>
                <c:pt idx="84">
                  <c:v>354603.62498931802</c:v>
                </c:pt>
                <c:pt idx="85">
                  <c:v>354967.251251026</c:v>
                </c:pt>
                <c:pt idx="86">
                  <c:v>355330.87751273502</c:v>
                </c:pt>
                <c:pt idx="87">
                  <c:v>355694.503774443</c:v>
                </c:pt>
                <c:pt idx="88">
                  <c:v>356058.13003615098</c:v>
                </c:pt>
                <c:pt idx="89">
                  <c:v>356421.75629785901</c:v>
                </c:pt>
                <c:pt idx="90">
                  <c:v>356785.38255956699</c:v>
                </c:pt>
                <c:pt idx="91">
                  <c:v>357149.00882127503</c:v>
                </c:pt>
                <c:pt idx="92">
                  <c:v>357512.63508298399</c:v>
                </c:pt>
                <c:pt idx="93">
                  <c:v>357876.26134469197</c:v>
                </c:pt>
                <c:pt idx="94">
                  <c:v>358239.88760640001</c:v>
                </c:pt>
                <c:pt idx="95">
                  <c:v>358603.51386810798</c:v>
                </c:pt>
                <c:pt idx="96">
                  <c:v>358967.14012981602</c:v>
                </c:pt>
                <c:pt idx="97">
                  <c:v>359330.76639152499</c:v>
                </c:pt>
                <c:pt idx="98">
                  <c:v>359694.39265323302</c:v>
                </c:pt>
                <c:pt idx="99">
                  <c:v>360058.018914941</c:v>
                </c:pt>
              </c:numCache>
            </c:numRef>
          </c:xVal>
          <c:yVal>
            <c:numRef>
              <c:f>Sheet1_2!$U$2:$U$101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C37-4684-8638-F1487D4A5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10772"/>
        <c:axId val="5677663"/>
      </c:scatterChart>
      <c:valAx>
        <c:axId val="2151077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900" b="0" strike="noStrike" spc="-1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sz="900" b="0" strike="noStrike" spc="-1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t (en secondes)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CCCCC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endParaRPr lang="fr-FR"/>
          </a:p>
        </c:txPr>
        <c:crossAx val="5677663"/>
        <c:crosses val="autoZero"/>
        <c:crossBetween val="midCat"/>
      </c:valAx>
      <c:valAx>
        <c:axId val="56776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sz="900" b="0" strike="noStrike" spc="-1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U ( en volt)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endParaRPr lang="fr-FR"/>
          </a:p>
        </c:txPr>
        <c:crossAx val="21510772"/>
        <c:crosses val="autoZero"/>
        <c:crossBetween val="midCat"/>
      </c:valAx>
      <c:spPr>
        <a:gradFill>
          <a:gsLst>
            <a:gs pos="0">
              <a:srgbClr val="FFFFFF"/>
            </a:gs>
            <a:gs pos="100000">
              <a:srgbClr val="F2F2F2"/>
            </a:gs>
          </a:gsLst>
          <a:lin ang="5400000"/>
        </a:gra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400" b="0" strike="noStrike" spc="18">
                <a:solidFill>
                  <a:srgbClr val="808080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r>
              <a:rPr lang="fr-FR" sz="1400" b="0" strike="noStrike" spc="18">
                <a:solidFill>
                  <a:srgbClr val="808080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rPr>
              <a:t>f(t)=U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383.89272865702702</c:v>
                </c:pt>
                <c:pt idx="2">
                  <c:v>747.51899036522104</c:v>
                </c:pt>
                <c:pt idx="3">
                  <c:v>1111.1452520734199</c:v>
                </c:pt>
                <c:pt idx="4">
                  <c:v>1474.7715137816101</c:v>
                </c:pt>
                <c:pt idx="5">
                  <c:v>1838.3977754898101</c:v>
                </c:pt>
                <c:pt idx="6">
                  <c:v>2202.0240371979999</c:v>
                </c:pt>
                <c:pt idx="7">
                  <c:v>2565.6502989061901</c:v>
                </c:pt>
                <c:pt idx="8">
                  <c:v>2929.2765606143898</c:v>
                </c:pt>
                <c:pt idx="9">
                  <c:v>3292.9028223225801</c:v>
                </c:pt>
                <c:pt idx="10">
                  <c:v>3656.5290840307798</c:v>
                </c:pt>
                <c:pt idx="11">
                  <c:v>4020.15534573897</c:v>
                </c:pt>
                <c:pt idx="12">
                  <c:v>4383.7816074471702</c:v>
                </c:pt>
                <c:pt idx="13">
                  <c:v>4747.4078691553595</c:v>
                </c:pt>
                <c:pt idx="14">
                  <c:v>5111.0341308635598</c:v>
                </c:pt>
                <c:pt idx="15">
                  <c:v>5474.66039257175</c:v>
                </c:pt>
                <c:pt idx="16">
                  <c:v>5838.2866542799502</c:v>
                </c:pt>
                <c:pt idx="17">
                  <c:v>6201.9129159881404</c:v>
                </c:pt>
                <c:pt idx="18">
                  <c:v>6565.5391776963397</c:v>
                </c:pt>
                <c:pt idx="19">
                  <c:v>6929.1654394045299</c:v>
                </c:pt>
                <c:pt idx="20">
                  <c:v>7292.7917011127302</c:v>
                </c:pt>
                <c:pt idx="21">
                  <c:v>7656.4179628209204</c:v>
                </c:pt>
                <c:pt idx="22">
                  <c:v>8020.0442245291097</c:v>
                </c:pt>
                <c:pt idx="23">
                  <c:v>8383.6704862373099</c:v>
                </c:pt>
                <c:pt idx="24">
                  <c:v>8747.2967479455001</c:v>
                </c:pt>
                <c:pt idx="25">
                  <c:v>9110.9230096536994</c:v>
                </c:pt>
                <c:pt idx="26">
                  <c:v>9474.5492713618896</c:v>
                </c:pt>
                <c:pt idx="27">
                  <c:v>9838.1755330700908</c:v>
                </c:pt>
                <c:pt idx="28">
                  <c:v>10201.801794778299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11292.680579902901</c:v>
                </c:pt>
                <c:pt idx="32">
                  <c:v>11656.3068416111</c:v>
                </c:pt>
                <c:pt idx="33">
                  <c:v>12019.933103319299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13110.811888443801</c:v>
                </c:pt>
                <c:pt idx="37">
                  <c:v>13474.438150152</c:v>
                </c:pt>
                <c:pt idx="38">
                  <c:v>13838.064411860199</c:v>
                </c:pt>
                <c:pt idx="39">
                  <c:v>14201.690673568401</c:v>
                </c:pt>
                <c:pt idx="40">
                  <c:v>14565.3169352766</c:v>
                </c:pt>
                <c:pt idx="41">
                  <c:v>14928.943196984799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16019.821982109401</c:v>
                </c:pt>
                <c:pt idx="45">
                  <c:v>16383.4482438176</c:v>
                </c:pt>
                <c:pt idx="46">
                  <c:v>16747.074505525801</c:v>
                </c:pt>
                <c:pt idx="47">
                  <c:v>17110.700767234001</c:v>
                </c:pt>
                <c:pt idx="48">
                  <c:v>17474.3270289422</c:v>
                </c:pt>
                <c:pt idx="49">
                  <c:v>17837.953290650399</c:v>
                </c:pt>
                <c:pt idx="50">
                  <c:v>18201.579552358598</c:v>
                </c:pt>
                <c:pt idx="51">
                  <c:v>18565.205814066801</c:v>
                </c:pt>
                <c:pt idx="52">
                  <c:v>18928.832075775001</c:v>
                </c:pt>
                <c:pt idx="53">
                  <c:v>19292.4583374832</c:v>
                </c:pt>
                <c:pt idx="54">
                  <c:v>19656.084599191301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20746.963384315899</c:v>
                </c:pt>
                <c:pt idx="58">
                  <c:v>21110.589646024098</c:v>
                </c:pt>
                <c:pt idx="59">
                  <c:v>21474.215907732301</c:v>
                </c:pt>
                <c:pt idx="60">
                  <c:v>21837.842169440501</c:v>
                </c:pt>
                <c:pt idx="61">
                  <c:v>22201.4684311487</c:v>
                </c:pt>
                <c:pt idx="62">
                  <c:v>22565.094692856899</c:v>
                </c:pt>
                <c:pt idx="63">
                  <c:v>22928.720954565099</c:v>
                </c:pt>
                <c:pt idx="64">
                  <c:v>23292.347216273301</c:v>
                </c:pt>
                <c:pt idx="65">
                  <c:v>23655.973477981501</c:v>
                </c:pt>
                <c:pt idx="66">
                  <c:v>24019.5997396897</c:v>
                </c:pt>
                <c:pt idx="67">
                  <c:v>24383.226001397899</c:v>
                </c:pt>
                <c:pt idx="68">
                  <c:v>24746.852263106099</c:v>
                </c:pt>
                <c:pt idx="69">
                  <c:v>25110.478524814302</c:v>
                </c:pt>
                <c:pt idx="70">
                  <c:v>25474.104786522501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26564.983571647001</c:v>
                </c:pt>
                <c:pt idx="74">
                  <c:v>26928.6098333552</c:v>
                </c:pt>
                <c:pt idx="75">
                  <c:v>27292.236095063399</c:v>
                </c:pt>
                <c:pt idx="76">
                  <c:v>27655.862356771599</c:v>
                </c:pt>
                <c:pt idx="77">
                  <c:v>28019.488618479802</c:v>
                </c:pt>
                <c:pt idx="78">
                  <c:v>28383.114880188001</c:v>
                </c:pt>
                <c:pt idx="79">
                  <c:v>28746.7411418962</c:v>
                </c:pt>
                <c:pt idx="80">
                  <c:v>29110.367403604399</c:v>
                </c:pt>
                <c:pt idx="81">
                  <c:v>29473.993665312599</c:v>
                </c:pt>
                <c:pt idx="82">
                  <c:v>29837.619927020802</c:v>
                </c:pt>
                <c:pt idx="83">
                  <c:v>30201.246188729001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31292.124973853599</c:v>
                </c:pt>
                <c:pt idx="87">
                  <c:v>31655.751235561798</c:v>
                </c:pt>
                <c:pt idx="88">
                  <c:v>32019.377497270001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33110.256282394497</c:v>
                </c:pt>
                <c:pt idx="92">
                  <c:v>33473.8825441027</c:v>
                </c:pt>
                <c:pt idx="93">
                  <c:v>33837.508805810903</c:v>
                </c:pt>
                <c:pt idx="94">
                  <c:v>34201.135067519099</c:v>
                </c:pt>
                <c:pt idx="95">
                  <c:v>34564.761329227302</c:v>
                </c:pt>
                <c:pt idx="96">
                  <c:v>34928.387590935497</c:v>
                </c:pt>
                <c:pt idx="97">
                  <c:v>35292.0138526437</c:v>
                </c:pt>
                <c:pt idx="98">
                  <c:v>35655.640114351903</c:v>
                </c:pt>
                <c:pt idx="99">
                  <c:v>36019.266376060099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F-43D0-B94F-5D2966A1E1BD}"/>
            </c:ext>
          </c:extLst>
        </c:ser>
        <c:ser>
          <c:idx val="1"/>
          <c:order val="1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Sheet1!$F$2:$F$101</c:f>
              <c:numCache>
                <c:formatCode>General</c:formatCode>
                <c:ptCount val="100"/>
                <c:pt idx="0">
                  <c:v>36023.961866048201</c:v>
                </c:pt>
                <c:pt idx="1">
                  <c:v>36387.588127756397</c:v>
                </c:pt>
                <c:pt idx="2">
                  <c:v>36751.2143894646</c:v>
                </c:pt>
                <c:pt idx="3">
                  <c:v>37114.840651172803</c:v>
                </c:pt>
                <c:pt idx="4">
                  <c:v>37478.466912880998</c:v>
                </c:pt>
                <c:pt idx="5">
                  <c:v>37842.093174589201</c:v>
                </c:pt>
                <c:pt idx="6">
                  <c:v>38205.719436297397</c:v>
                </c:pt>
                <c:pt idx="7">
                  <c:v>38569.3456980056</c:v>
                </c:pt>
                <c:pt idx="8">
                  <c:v>38932.971959713803</c:v>
                </c:pt>
                <c:pt idx="9">
                  <c:v>39296.598221421998</c:v>
                </c:pt>
                <c:pt idx="10">
                  <c:v>39660.224483130201</c:v>
                </c:pt>
                <c:pt idx="11">
                  <c:v>40023.850744838302</c:v>
                </c:pt>
                <c:pt idx="12">
                  <c:v>40387.477006546498</c:v>
                </c:pt>
                <c:pt idx="13">
                  <c:v>40751.103268254701</c:v>
                </c:pt>
                <c:pt idx="14">
                  <c:v>41114.729529962897</c:v>
                </c:pt>
                <c:pt idx="15">
                  <c:v>41478.3557916711</c:v>
                </c:pt>
                <c:pt idx="16">
                  <c:v>41841.982053379303</c:v>
                </c:pt>
                <c:pt idx="17">
                  <c:v>42205.608315087498</c:v>
                </c:pt>
                <c:pt idx="18">
                  <c:v>42569.234576795701</c:v>
                </c:pt>
                <c:pt idx="19">
                  <c:v>42932.860838503897</c:v>
                </c:pt>
                <c:pt idx="20">
                  <c:v>43296.4871002121</c:v>
                </c:pt>
                <c:pt idx="21">
                  <c:v>43660.113361920303</c:v>
                </c:pt>
                <c:pt idx="22">
                  <c:v>44023.739623628499</c:v>
                </c:pt>
                <c:pt idx="23">
                  <c:v>44387.365885336701</c:v>
                </c:pt>
                <c:pt idx="24">
                  <c:v>44750.992147044897</c:v>
                </c:pt>
                <c:pt idx="25">
                  <c:v>45114.6184087531</c:v>
                </c:pt>
                <c:pt idx="26">
                  <c:v>45478.244670461303</c:v>
                </c:pt>
                <c:pt idx="27">
                  <c:v>45841.870932169499</c:v>
                </c:pt>
                <c:pt idx="28">
                  <c:v>46205.497193877702</c:v>
                </c:pt>
                <c:pt idx="29">
                  <c:v>46569.123455585897</c:v>
                </c:pt>
                <c:pt idx="30">
                  <c:v>46932.7497172941</c:v>
                </c:pt>
                <c:pt idx="31">
                  <c:v>47296.375979002201</c:v>
                </c:pt>
                <c:pt idx="32">
                  <c:v>47660.002240710397</c:v>
                </c:pt>
                <c:pt idx="33">
                  <c:v>48023.6285024186</c:v>
                </c:pt>
                <c:pt idx="34">
                  <c:v>48387.254764126803</c:v>
                </c:pt>
                <c:pt idx="35">
                  <c:v>48750.881025834999</c:v>
                </c:pt>
                <c:pt idx="36">
                  <c:v>49114.507287543202</c:v>
                </c:pt>
                <c:pt idx="37">
                  <c:v>49478.133549251397</c:v>
                </c:pt>
                <c:pt idx="38">
                  <c:v>49841.7598109596</c:v>
                </c:pt>
                <c:pt idx="39">
                  <c:v>50205.386072667803</c:v>
                </c:pt>
                <c:pt idx="40">
                  <c:v>50569.012334375999</c:v>
                </c:pt>
                <c:pt idx="41">
                  <c:v>50932.638596084202</c:v>
                </c:pt>
                <c:pt idx="42">
                  <c:v>51296.264857792397</c:v>
                </c:pt>
                <c:pt idx="43">
                  <c:v>51659.8911195006</c:v>
                </c:pt>
                <c:pt idx="44">
                  <c:v>52023.517381208803</c:v>
                </c:pt>
                <c:pt idx="45">
                  <c:v>52387.143642916999</c:v>
                </c:pt>
                <c:pt idx="46">
                  <c:v>52750.769904625202</c:v>
                </c:pt>
                <c:pt idx="47">
                  <c:v>53114.396166333398</c:v>
                </c:pt>
                <c:pt idx="48">
                  <c:v>53478.022428041601</c:v>
                </c:pt>
                <c:pt idx="49">
                  <c:v>53841.648689749803</c:v>
                </c:pt>
                <c:pt idx="50">
                  <c:v>54205.274951457999</c:v>
                </c:pt>
                <c:pt idx="51">
                  <c:v>54568.9012131661</c:v>
                </c:pt>
                <c:pt idx="52">
                  <c:v>54932.527474874303</c:v>
                </c:pt>
                <c:pt idx="53">
                  <c:v>55296.153736582499</c:v>
                </c:pt>
                <c:pt idx="54">
                  <c:v>55659.779998290702</c:v>
                </c:pt>
                <c:pt idx="55">
                  <c:v>56023.406259998897</c:v>
                </c:pt>
                <c:pt idx="56">
                  <c:v>56387.0325217071</c:v>
                </c:pt>
                <c:pt idx="57">
                  <c:v>56750.658783415303</c:v>
                </c:pt>
                <c:pt idx="58">
                  <c:v>57114.285045123499</c:v>
                </c:pt>
                <c:pt idx="59">
                  <c:v>57477.911306831702</c:v>
                </c:pt>
                <c:pt idx="60">
                  <c:v>57841.537568539898</c:v>
                </c:pt>
                <c:pt idx="61">
                  <c:v>58205.163830248101</c:v>
                </c:pt>
                <c:pt idx="62">
                  <c:v>58568.790091956304</c:v>
                </c:pt>
                <c:pt idx="63">
                  <c:v>58932.416353664499</c:v>
                </c:pt>
                <c:pt idx="64">
                  <c:v>59296.042615372702</c:v>
                </c:pt>
                <c:pt idx="65">
                  <c:v>59659.668877080898</c:v>
                </c:pt>
                <c:pt idx="66">
                  <c:v>60023.295138789101</c:v>
                </c:pt>
                <c:pt idx="67">
                  <c:v>60386.921400497296</c:v>
                </c:pt>
                <c:pt idx="68">
                  <c:v>60750.547662205499</c:v>
                </c:pt>
                <c:pt idx="69">
                  <c:v>61114.173923913702</c:v>
                </c:pt>
                <c:pt idx="70">
                  <c:v>61477.800185621898</c:v>
                </c:pt>
                <c:pt idx="71">
                  <c:v>61841.426447329999</c:v>
                </c:pt>
                <c:pt idx="72">
                  <c:v>62205.052709038202</c:v>
                </c:pt>
                <c:pt idx="73">
                  <c:v>62568.678970746398</c:v>
                </c:pt>
                <c:pt idx="74">
                  <c:v>62932.305232454601</c:v>
                </c:pt>
                <c:pt idx="75">
                  <c:v>63295.931494162804</c:v>
                </c:pt>
                <c:pt idx="76">
                  <c:v>63659.557755870999</c:v>
                </c:pt>
                <c:pt idx="77">
                  <c:v>64023.184017579202</c:v>
                </c:pt>
                <c:pt idx="78">
                  <c:v>64386.810279287398</c:v>
                </c:pt>
                <c:pt idx="79">
                  <c:v>64750.436540995601</c:v>
                </c:pt>
                <c:pt idx="80">
                  <c:v>65114.062802703796</c:v>
                </c:pt>
                <c:pt idx="81">
                  <c:v>65477.689064411999</c:v>
                </c:pt>
                <c:pt idx="82">
                  <c:v>65841.315326120195</c:v>
                </c:pt>
                <c:pt idx="83">
                  <c:v>66204.941587828405</c:v>
                </c:pt>
                <c:pt idx="84">
                  <c:v>66568.567849536601</c:v>
                </c:pt>
                <c:pt idx="85">
                  <c:v>66932.194111244797</c:v>
                </c:pt>
                <c:pt idx="86">
                  <c:v>67295.820372953007</c:v>
                </c:pt>
                <c:pt idx="87">
                  <c:v>67659.446634661203</c:v>
                </c:pt>
                <c:pt idx="88">
                  <c:v>68023.072896369398</c:v>
                </c:pt>
                <c:pt idx="89">
                  <c:v>68386.699158077594</c:v>
                </c:pt>
                <c:pt idx="90">
                  <c:v>68750.325419785804</c:v>
                </c:pt>
                <c:pt idx="91">
                  <c:v>69113.951681493898</c:v>
                </c:pt>
                <c:pt idx="92">
                  <c:v>69477.577943202094</c:v>
                </c:pt>
                <c:pt idx="93">
                  <c:v>69841.204204910304</c:v>
                </c:pt>
                <c:pt idx="94">
                  <c:v>70204.830466618499</c:v>
                </c:pt>
                <c:pt idx="95">
                  <c:v>70568.456728326695</c:v>
                </c:pt>
                <c:pt idx="96">
                  <c:v>70932.082990034905</c:v>
                </c:pt>
                <c:pt idx="97">
                  <c:v>71295.709251743101</c:v>
                </c:pt>
                <c:pt idx="98">
                  <c:v>71659.335513451297</c:v>
                </c:pt>
                <c:pt idx="99">
                  <c:v>72022.961775159507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7F-43D0-B94F-5D2966A1E1BD}"/>
            </c:ext>
          </c:extLst>
        </c:ser>
        <c:ser>
          <c:idx val="2"/>
          <c:order val="2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Sheet1!$J$2:$J$101</c:f>
              <c:numCache>
                <c:formatCode>General</c:formatCode>
                <c:ptCount val="100"/>
                <c:pt idx="0">
                  <c:v>72028.995598144305</c:v>
                </c:pt>
                <c:pt idx="1">
                  <c:v>72392.621859852501</c:v>
                </c:pt>
                <c:pt idx="2">
                  <c:v>72756.248121560697</c:v>
                </c:pt>
                <c:pt idx="3">
                  <c:v>73119.874383268907</c:v>
                </c:pt>
                <c:pt idx="4">
                  <c:v>73483.500644977103</c:v>
                </c:pt>
                <c:pt idx="5">
                  <c:v>73847.126906685298</c:v>
                </c:pt>
                <c:pt idx="6">
                  <c:v>74210.753168393494</c:v>
                </c:pt>
                <c:pt idx="7">
                  <c:v>74574.379430101704</c:v>
                </c:pt>
                <c:pt idx="8">
                  <c:v>74938.0056918099</c:v>
                </c:pt>
                <c:pt idx="9">
                  <c:v>75301.631953518096</c:v>
                </c:pt>
                <c:pt idx="10">
                  <c:v>75665.258215226306</c:v>
                </c:pt>
                <c:pt idx="11">
                  <c:v>76028.884476934501</c:v>
                </c:pt>
                <c:pt idx="12">
                  <c:v>76392.510738642697</c:v>
                </c:pt>
                <c:pt idx="13">
                  <c:v>76756.137000350893</c:v>
                </c:pt>
                <c:pt idx="14">
                  <c:v>77119.763262059103</c:v>
                </c:pt>
                <c:pt idx="15">
                  <c:v>77483.389523767299</c:v>
                </c:pt>
                <c:pt idx="16">
                  <c:v>77847.015785475494</c:v>
                </c:pt>
                <c:pt idx="17">
                  <c:v>78210.642047183705</c:v>
                </c:pt>
                <c:pt idx="18">
                  <c:v>78574.2683088919</c:v>
                </c:pt>
                <c:pt idx="19">
                  <c:v>78937.894570600096</c:v>
                </c:pt>
                <c:pt idx="20">
                  <c:v>79301.520832308306</c:v>
                </c:pt>
                <c:pt idx="21">
                  <c:v>79665.147094016502</c:v>
                </c:pt>
                <c:pt idx="22">
                  <c:v>80028.773355724697</c:v>
                </c:pt>
                <c:pt idx="23">
                  <c:v>80392.399617432893</c:v>
                </c:pt>
                <c:pt idx="24">
                  <c:v>80756.025879141103</c:v>
                </c:pt>
                <c:pt idx="25">
                  <c:v>81119.652140849299</c:v>
                </c:pt>
                <c:pt idx="26">
                  <c:v>81483.278402557495</c:v>
                </c:pt>
                <c:pt idx="27">
                  <c:v>81846.904664265705</c:v>
                </c:pt>
                <c:pt idx="28">
                  <c:v>82210.530925973901</c:v>
                </c:pt>
                <c:pt idx="29">
                  <c:v>82574.157187682096</c:v>
                </c:pt>
                <c:pt idx="30">
                  <c:v>82937.783449390306</c:v>
                </c:pt>
                <c:pt idx="31">
                  <c:v>83301.409711098502</c:v>
                </c:pt>
                <c:pt idx="32">
                  <c:v>83665.035972806698</c:v>
                </c:pt>
                <c:pt idx="33">
                  <c:v>84028.662234514893</c:v>
                </c:pt>
                <c:pt idx="34">
                  <c:v>84392.288496223104</c:v>
                </c:pt>
                <c:pt idx="35">
                  <c:v>84755.914757931299</c:v>
                </c:pt>
                <c:pt idx="36">
                  <c:v>85119.541019639495</c:v>
                </c:pt>
                <c:pt idx="37">
                  <c:v>85483.167281347705</c:v>
                </c:pt>
                <c:pt idx="38">
                  <c:v>85846.793543055901</c:v>
                </c:pt>
                <c:pt idx="39">
                  <c:v>86210.419804764097</c:v>
                </c:pt>
                <c:pt idx="40">
                  <c:v>86574.046066472307</c:v>
                </c:pt>
                <c:pt idx="41">
                  <c:v>86937.672328180503</c:v>
                </c:pt>
                <c:pt idx="42">
                  <c:v>87301.298589888698</c:v>
                </c:pt>
                <c:pt idx="43">
                  <c:v>87664.924851596894</c:v>
                </c:pt>
                <c:pt idx="44">
                  <c:v>88028.551113305104</c:v>
                </c:pt>
                <c:pt idx="45">
                  <c:v>88392.1773750133</c:v>
                </c:pt>
                <c:pt idx="46">
                  <c:v>88755.803636721495</c:v>
                </c:pt>
                <c:pt idx="47">
                  <c:v>89119.429898429706</c:v>
                </c:pt>
                <c:pt idx="48">
                  <c:v>89483.056160137901</c:v>
                </c:pt>
                <c:pt idx="49">
                  <c:v>89846.682421846097</c:v>
                </c:pt>
                <c:pt idx="50">
                  <c:v>90210.308683554307</c:v>
                </c:pt>
                <c:pt idx="51">
                  <c:v>90573.934945262401</c:v>
                </c:pt>
                <c:pt idx="52">
                  <c:v>90937.561206970699</c:v>
                </c:pt>
                <c:pt idx="53">
                  <c:v>91301.187468678894</c:v>
                </c:pt>
                <c:pt idx="54">
                  <c:v>91664.813730387104</c:v>
                </c:pt>
                <c:pt idx="55">
                  <c:v>92028.439992095198</c:v>
                </c:pt>
                <c:pt idx="56">
                  <c:v>92392.066253803394</c:v>
                </c:pt>
                <c:pt idx="57">
                  <c:v>92755.692515511706</c:v>
                </c:pt>
                <c:pt idx="58">
                  <c:v>93119.3187772198</c:v>
                </c:pt>
                <c:pt idx="59">
                  <c:v>93482.945038927995</c:v>
                </c:pt>
                <c:pt idx="60">
                  <c:v>93846.571300636206</c:v>
                </c:pt>
                <c:pt idx="61">
                  <c:v>94210.197562344401</c:v>
                </c:pt>
                <c:pt idx="62">
                  <c:v>94573.823824052597</c:v>
                </c:pt>
                <c:pt idx="63">
                  <c:v>94937.450085760807</c:v>
                </c:pt>
                <c:pt idx="64">
                  <c:v>95301.076347469003</c:v>
                </c:pt>
                <c:pt idx="65">
                  <c:v>95664.702609177199</c:v>
                </c:pt>
                <c:pt idx="66">
                  <c:v>96028.328870885394</c:v>
                </c:pt>
                <c:pt idx="67">
                  <c:v>96391.955132593605</c:v>
                </c:pt>
                <c:pt idx="68">
                  <c:v>96755.5813943018</c:v>
                </c:pt>
                <c:pt idx="69">
                  <c:v>97119.207656009996</c:v>
                </c:pt>
                <c:pt idx="70">
                  <c:v>97482.833917718206</c:v>
                </c:pt>
                <c:pt idx="71">
                  <c:v>97846.460179426402</c:v>
                </c:pt>
                <c:pt idx="72">
                  <c:v>98210.086441134597</c:v>
                </c:pt>
                <c:pt idx="73">
                  <c:v>98573.712702842793</c:v>
                </c:pt>
                <c:pt idx="74">
                  <c:v>98937.338964551003</c:v>
                </c:pt>
                <c:pt idx="75">
                  <c:v>99300.965226259199</c:v>
                </c:pt>
                <c:pt idx="76">
                  <c:v>99664.591487967395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101482.72279650799</c:v>
                </c:pt>
                <c:pt idx="82">
                  <c:v>101846.34905821701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105482.61167529901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7F-43D0-B94F-5D2966A1E1BD}"/>
            </c:ext>
          </c:extLst>
        </c:ser>
        <c:ser>
          <c:idx val="3"/>
          <c:order val="3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Sheet1!$N$2:$N$101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110941.38699891001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113123.14456915901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114577.64961599201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116759.40718624101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118213.91223307401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120395.66980332301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121850.17485015601</c:v>
                </c:pt>
                <c:pt idx="39">
                  <c:v>122213.801111864</c:v>
                </c:pt>
                <c:pt idx="40">
                  <c:v>122577.42737357201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124031.93242040501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125486.43746723801</c:v>
                </c:pt>
                <c:pt idx="49">
                  <c:v>125850.063728946</c:v>
                </c:pt>
                <c:pt idx="50">
                  <c:v>126213.68999065401</c:v>
                </c:pt>
                <c:pt idx="51">
                  <c:v>126577.316252362</c:v>
                </c:pt>
                <c:pt idx="52">
                  <c:v>126940.94251407099</c:v>
                </c:pt>
                <c:pt idx="53">
                  <c:v>127304.568775779</c:v>
                </c:pt>
                <c:pt idx="54">
                  <c:v>127668.19503748701</c:v>
                </c:pt>
                <c:pt idx="55">
                  <c:v>128031.821299195</c:v>
                </c:pt>
                <c:pt idx="56">
                  <c:v>128395.44756090301</c:v>
                </c:pt>
                <c:pt idx="57">
                  <c:v>128759.073822612</c:v>
                </c:pt>
                <c:pt idx="58">
                  <c:v>129122.70008431999</c:v>
                </c:pt>
                <c:pt idx="59">
                  <c:v>129486.326346028</c:v>
                </c:pt>
                <c:pt idx="60">
                  <c:v>129849.95260773601</c:v>
                </c:pt>
                <c:pt idx="61">
                  <c:v>130213.578869444</c:v>
                </c:pt>
                <c:pt idx="62">
                  <c:v>130577.20513115299</c:v>
                </c:pt>
                <c:pt idx="63">
                  <c:v>130940.831392861</c:v>
                </c:pt>
                <c:pt idx="64">
                  <c:v>131304.45765456901</c:v>
                </c:pt>
                <c:pt idx="65">
                  <c:v>131668.08391627701</c:v>
                </c:pt>
                <c:pt idx="66">
                  <c:v>132031.71017798499</c:v>
                </c:pt>
                <c:pt idx="67">
                  <c:v>132395.33643969399</c:v>
                </c:pt>
                <c:pt idx="68">
                  <c:v>132758.96270140199</c:v>
                </c:pt>
                <c:pt idx="69">
                  <c:v>133122.58896311</c:v>
                </c:pt>
                <c:pt idx="70">
                  <c:v>133486.21522481801</c:v>
                </c:pt>
                <c:pt idx="71">
                  <c:v>133849.84148652601</c:v>
                </c:pt>
                <c:pt idx="72">
                  <c:v>134213.46774823501</c:v>
                </c:pt>
                <c:pt idx="73">
                  <c:v>134577.09400994299</c:v>
                </c:pt>
                <c:pt idx="74">
                  <c:v>134940.72027165099</c:v>
                </c:pt>
                <c:pt idx="75">
                  <c:v>135304.346533359</c:v>
                </c:pt>
                <c:pt idx="76">
                  <c:v>135667.97279506701</c:v>
                </c:pt>
                <c:pt idx="77">
                  <c:v>136031.599056776</c:v>
                </c:pt>
                <c:pt idx="78">
                  <c:v>136395.22531848401</c:v>
                </c:pt>
                <c:pt idx="79">
                  <c:v>136758.85158019199</c:v>
                </c:pt>
                <c:pt idx="80">
                  <c:v>137122.47784189999</c:v>
                </c:pt>
                <c:pt idx="81">
                  <c:v>137486.104103608</c:v>
                </c:pt>
                <c:pt idx="82">
                  <c:v>137849.73036531699</c:v>
                </c:pt>
                <c:pt idx="83">
                  <c:v>138213.356627025</c:v>
                </c:pt>
                <c:pt idx="84">
                  <c:v>138576.98288873301</c:v>
                </c:pt>
                <c:pt idx="85">
                  <c:v>138940.60915044101</c:v>
                </c:pt>
                <c:pt idx="86">
                  <c:v>139304.23541214899</c:v>
                </c:pt>
                <c:pt idx="87">
                  <c:v>139667.86167385799</c:v>
                </c:pt>
                <c:pt idx="88">
                  <c:v>140031.48793556599</c:v>
                </c:pt>
                <c:pt idx="89">
                  <c:v>140395.114197274</c:v>
                </c:pt>
                <c:pt idx="90">
                  <c:v>140758.74045898201</c:v>
                </c:pt>
                <c:pt idx="91">
                  <c:v>141122.36672069001</c:v>
                </c:pt>
                <c:pt idx="92">
                  <c:v>141485.99298239901</c:v>
                </c:pt>
                <c:pt idx="93">
                  <c:v>141849.61924410699</c:v>
                </c:pt>
                <c:pt idx="94">
                  <c:v>142213.24550581499</c:v>
                </c:pt>
                <c:pt idx="95">
                  <c:v>142576.871767523</c:v>
                </c:pt>
                <c:pt idx="96">
                  <c:v>142940.49802923101</c:v>
                </c:pt>
                <c:pt idx="97">
                  <c:v>143304.12429094</c:v>
                </c:pt>
                <c:pt idx="98">
                  <c:v>143667.75055264801</c:v>
                </c:pt>
                <c:pt idx="99">
                  <c:v>144031.37681435599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7F-43D0-B94F-5D2966A1E1BD}"/>
            </c:ext>
          </c:extLst>
        </c:ser>
        <c:ser>
          <c:idx val="4"/>
          <c:order val="4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C99C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Sheet1!$R$2:$R$101</c:f>
              <c:numCache>
                <c:formatCode>General</c:formatCode>
                <c:ptCount val="100"/>
                <c:pt idx="0">
                  <c:v>144037.75662433999</c:v>
                </c:pt>
                <c:pt idx="1">
                  <c:v>144401.382886048</c:v>
                </c:pt>
                <c:pt idx="2">
                  <c:v>144765.00914775601</c:v>
                </c:pt>
                <c:pt idx="3">
                  <c:v>145128.635409465</c:v>
                </c:pt>
                <c:pt idx="4">
                  <c:v>145492.26167117301</c:v>
                </c:pt>
                <c:pt idx="5">
                  <c:v>145855.88793288101</c:v>
                </c:pt>
                <c:pt idx="6">
                  <c:v>146219.51419458899</c:v>
                </c:pt>
                <c:pt idx="7">
                  <c:v>146583.140456297</c:v>
                </c:pt>
                <c:pt idx="8">
                  <c:v>146946.76671800599</c:v>
                </c:pt>
                <c:pt idx="9">
                  <c:v>147310.392979714</c:v>
                </c:pt>
                <c:pt idx="10">
                  <c:v>147674.01924142201</c:v>
                </c:pt>
                <c:pt idx="11">
                  <c:v>148037.64550313001</c:v>
                </c:pt>
                <c:pt idx="12">
                  <c:v>148401.27176483799</c:v>
                </c:pt>
                <c:pt idx="13">
                  <c:v>148764.89802654699</c:v>
                </c:pt>
                <c:pt idx="14">
                  <c:v>149128.52428825499</c:v>
                </c:pt>
                <c:pt idx="15">
                  <c:v>149492.150549963</c:v>
                </c:pt>
                <c:pt idx="16">
                  <c:v>149855.77681167101</c:v>
                </c:pt>
                <c:pt idx="17">
                  <c:v>150219.40307337901</c:v>
                </c:pt>
                <c:pt idx="18">
                  <c:v>150583.02933508699</c:v>
                </c:pt>
                <c:pt idx="19">
                  <c:v>150946.65559679599</c:v>
                </c:pt>
                <c:pt idx="20">
                  <c:v>151310.28185850399</c:v>
                </c:pt>
                <c:pt idx="21">
                  <c:v>151673.908120212</c:v>
                </c:pt>
                <c:pt idx="22">
                  <c:v>152037.53438192001</c:v>
                </c:pt>
                <c:pt idx="23">
                  <c:v>152401.16064362801</c:v>
                </c:pt>
                <c:pt idx="24">
                  <c:v>152764.78690533701</c:v>
                </c:pt>
                <c:pt idx="25">
                  <c:v>153128.41316704499</c:v>
                </c:pt>
                <c:pt idx="26">
                  <c:v>153492.03942875299</c:v>
                </c:pt>
                <c:pt idx="27">
                  <c:v>153855.665690461</c:v>
                </c:pt>
                <c:pt idx="28">
                  <c:v>154219.29195216901</c:v>
                </c:pt>
                <c:pt idx="29">
                  <c:v>154582.918213878</c:v>
                </c:pt>
                <c:pt idx="30">
                  <c:v>154946.54447558601</c:v>
                </c:pt>
                <c:pt idx="31">
                  <c:v>155310.17073729401</c:v>
                </c:pt>
                <c:pt idx="32">
                  <c:v>155673.79699900199</c:v>
                </c:pt>
                <c:pt idx="33">
                  <c:v>156037.42326071</c:v>
                </c:pt>
                <c:pt idx="34">
                  <c:v>156401.04952241899</c:v>
                </c:pt>
                <c:pt idx="35">
                  <c:v>156764.675784127</c:v>
                </c:pt>
                <c:pt idx="36">
                  <c:v>157128.30204583501</c:v>
                </c:pt>
                <c:pt idx="37">
                  <c:v>157491.92830754301</c:v>
                </c:pt>
                <c:pt idx="38">
                  <c:v>157855.55456925099</c:v>
                </c:pt>
                <c:pt idx="39">
                  <c:v>158219.18083095999</c:v>
                </c:pt>
                <c:pt idx="40">
                  <c:v>158582.80709266799</c:v>
                </c:pt>
                <c:pt idx="41">
                  <c:v>158946.433354376</c:v>
                </c:pt>
                <c:pt idx="42">
                  <c:v>159310.05961608401</c:v>
                </c:pt>
                <c:pt idx="43">
                  <c:v>159673.68587779201</c:v>
                </c:pt>
                <c:pt idx="44">
                  <c:v>160037.31213949999</c:v>
                </c:pt>
                <c:pt idx="45">
                  <c:v>160400.93840120899</c:v>
                </c:pt>
                <c:pt idx="46">
                  <c:v>160764.56466291699</c:v>
                </c:pt>
                <c:pt idx="47">
                  <c:v>161128.190924625</c:v>
                </c:pt>
                <c:pt idx="48">
                  <c:v>161491.81718633301</c:v>
                </c:pt>
                <c:pt idx="49">
                  <c:v>161855.44344804101</c:v>
                </c:pt>
                <c:pt idx="50">
                  <c:v>162219.06970975001</c:v>
                </c:pt>
                <c:pt idx="51">
                  <c:v>162582.69597145799</c:v>
                </c:pt>
                <c:pt idx="52">
                  <c:v>162946.32223316599</c:v>
                </c:pt>
                <c:pt idx="53">
                  <c:v>163309.948494874</c:v>
                </c:pt>
                <c:pt idx="54">
                  <c:v>163673.57475658201</c:v>
                </c:pt>
                <c:pt idx="55">
                  <c:v>164037.201018291</c:v>
                </c:pt>
                <c:pt idx="56">
                  <c:v>164400.82727999901</c:v>
                </c:pt>
                <c:pt idx="57">
                  <c:v>164764.45354170699</c:v>
                </c:pt>
                <c:pt idx="58">
                  <c:v>165128.07980341499</c:v>
                </c:pt>
                <c:pt idx="59">
                  <c:v>165491.706065123</c:v>
                </c:pt>
                <c:pt idx="60">
                  <c:v>165855.33232683199</c:v>
                </c:pt>
                <c:pt idx="61">
                  <c:v>166218.95858854</c:v>
                </c:pt>
                <c:pt idx="62">
                  <c:v>166582.58485024801</c:v>
                </c:pt>
                <c:pt idx="63">
                  <c:v>166946.21111195601</c:v>
                </c:pt>
                <c:pt idx="64">
                  <c:v>167309.83737366399</c:v>
                </c:pt>
                <c:pt idx="65">
                  <c:v>167673.463635372</c:v>
                </c:pt>
                <c:pt idx="66">
                  <c:v>168037.08989708099</c:v>
                </c:pt>
                <c:pt idx="67">
                  <c:v>168400.716158789</c:v>
                </c:pt>
                <c:pt idx="68">
                  <c:v>168764.34242049701</c:v>
                </c:pt>
                <c:pt idx="69">
                  <c:v>169127.96868220501</c:v>
                </c:pt>
                <c:pt idx="70">
                  <c:v>169491.59494391299</c:v>
                </c:pt>
                <c:pt idx="71">
                  <c:v>169855.22120562199</c:v>
                </c:pt>
                <c:pt idx="72">
                  <c:v>170218.84746732999</c:v>
                </c:pt>
                <c:pt idx="73">
                  <c:v>170582.473729038</c:v>
                </c:pt>
                <c:pt idx="74">
                  <c:v>170946.09999074601</c:v>
                </c:pt>
                <c:pt idx="75">
                  <c:v>171309.72625245401</c:v>
                </c:pt>
                <c:pt idx="76">
                  <c:v>171673.35251416301</c:v>
                </c:pt>
                <c:pt idx="77">
                  <c:v>172036.97877587099</c:v>
                </c:pt>
                <c:pt idx="78">
                  <c:v>172400.60503757899</c:v>
                </c:pt>
                <c:pt idx="79">
                  <c:v>172764.231299287</c:v>
                </c:pt>
                <c:pt idx="80">
                  <c:v>173127.85756099501</c:v>
                </c:pt>
                <c:pt idx="81">
                  <c:v>173491.483822704</c:v>
                </c:pt>
                <c:pt idx="82">
                  <c:v>173855.11008441201</c:v>
                </c:pt>
                <c:pt idx="83">
                  <c:v>174218.73634611999</c:v>
                </c:pt>
                <c:pt idx="84">
                  <c:v>174582.36260782799</c:v>
                </c:pt>
                <c:pt idx="85">
                  <c:v>174945.988869536</c:v>
                </c:pt>
                <c:pt idx="86">
                  <c:v>175309.61513124499</c:v>
                </c:pt>
                <c:pt idx="87">
                  <c:v>175673.241392953</c:v>
                </c:pt>
                <c:pt idx="88">
                  <c:v>176036.86765466101</c:v>
                </c:pt>
                <c:pt idx="89">
                  <c:v>176400.49391636901</c:v>
                </c:pt>
                <c:pt idx="90">
                  <c:v>176764.12017807699</c:v>
                </c:pt>
                <c:pt idx="91">
                  <c:v>177127.746439785</c:v>
                </c:pt>
                <c:pt idx="92">
                  <c:v>177491.37270149399</c:v>
                </c:pt>
                <c:pt idx="93">
                  <c:v>177854.998963202</c:v>
                </c:pt>
                <c:pt idx="94">
                  <c:v>178218.62522491001</c:v>
                </c:pt>
                <c:pt idx="95">
                  <c:v>178582.25148661801</c:v>
                </c:pt>
                <c:pt idx="96">
                  <c:v>178945.87774832599</c:v>
                </c:pt>
                <c:pt idx="97">
                  <c:v>179309.50401003499</c:v>
                </c:pt>
                <c:pt idx="98">
                  <c:v>179673.13027174299</c:v>
                </c:pt>
                <c:pt idx="99">
                  <c:v>180036.756533451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7F-43D0-B94F-5D2966A1E1BD}"/>
            </c:ext>
          </c:extLst>
        </c:ser>
        <c:ser>
          <c:idx val="5"/>
          <c:order val="5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C9211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Sheet1!$V$2:$V$101</c:f>
              <c:numCache>
                <c:formatCode>General</c:formatCode>
                <c:ptCount val="100"/>
                <c:pt idx="0">
                  <c:v>180041.14793244001</c:v>
                </c:pt>
                <c:pt idx="1">
                  <c:v>180404.77419414799</c:v>
                </c:pt>
                <c:pt idx="2">
                  <c:v>180768.400455856</c:v>
                </c:pt>
                <c:pt idx="3">
                  <c:v>181132.02671756499</c:v>
                </c:pt>
                <c:pt idx="4">
                  <c:v>181495.652979273</c:v>
                </c:pt>
                <c:pt idx="5">
                  <c:v>181859.27924098101</c:v>
                </c:pt>
                <c:pt idx="6">
                  <c:v>182222.90550268901</c:v>
                </c:pt>
                <c:pt idx="7">
                  <c:v>182586.53176439699</c:v>
                </c:pt>
                <c:pt idx="8">
                  <c:v>182950.15802610599</c:v>
                </c:pt>
                <c:pt idx="9">
                  <c:v>183313.78428781399</c:v>
                </c:pt>
                <c:pt idx="10">
                  <c:v>183677.410549522</c:v>
                </c:pt>
                <c:pt idx="11">
                  <c:v>184041.03681123001</c:v>
                </c:pt>
                <c:pt idx="12">
                  <c:v>184404.66307293801</c:v>
                </c:pt>
                <c:pt idx="13">
                  <c:v>184768.28933464701</c:v>
                </c:pt>
                <c:pt idx="14">
                  <c:v>185131.91559635499</c:v>
                </c:pt>
                <c:pt idx="15">
                  <c:v>185495.54185806299</c:v>
                </c:pt>
                <c:pt idx="16">
                  <c:v>185859.168119771</c:v>
                </c:pt>
                <c:pt idx="17">
                  <c:v>186222.79438147901</c:v>
                </c:pt>
                <c:pt idx="18">
                  <c:v>186586.42064318701</c:v>
                </c:pt>
                <c:pt idx="19">
                  <c:v>186950.04690489601</c:v>
                </c:pt>
                <c:pt idx="20">
                  <c:v>187313.67316660401</c:v>
                </c:pt>
                <c:pt idx="21">
                  <c:v>187677.29942831199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189131.80447514501</c:v>
                </c:pt>
                <c:pt idx="26">
                  <c:v>189495.43073685301</c:v>
                </c:pt>
                <c:pt idx="27">
                  <c:v>189859.05699856099</c:v>
                </c:pt>
                <c:pt idx="28">
                  <c:v>190222.683260269</c:v>
                </c:pt>
                <c:pt idx="29">
                  <c:v>190586.30952197799</c:v>
                </c:pt>
                <c:pt idx="30">
                  <c:v>190949.935783686</c:v>
                </c:pt>
                <c:pt idx="31">
                  <c:v>191313.56204539401</c:v>
                </c:pt>
                <c:pt idx="32">
                  <c:v>191677.18830710201</c:v>
                </c:pt>
                <c:pt idx="33">
                  <c:v>192040.81456880999</c:v>
                </c:pt>
                <c:pt idx="34">
                  <c:v>192404.44083051899</c:v>
                </c:pt>
                <c:pt idx="35">
                  <c:v>192768.06709222699</c:v>
                </c:pt>
                <c:pt idx="36">
                  <c:v>193131.693353935</c:v>
                </c:pt>
                <c:pt idx="37">
                  <c:v>193495.31961564301</c:v>
                </c:pt>
                <c:pt idx="38">
                  <c:v>193858.94587735101</c:v>
                </c:pt>
                <c:pt idx="39">
                  <c:v>194222.57213905899</c:v>
                </c:pt>
                <c:pt idx="40">
                  <c:v>194586.19840076799</c:v>
                </c:pt>
                <c:pt idx="41">
                  <c:v>194949.82466247599</c:v>
                </c:pt>
                <c:pt idx="42">
                  <c:v>195313.450924184</c:v>
                </c:pt>
                <c:pt idx="43">
                  <c:v>195677.07718589201</c:v>
                </c:pt>
                <c:pt idx="44">
                  <c:v>196040.70344760001</c:v>
                </c:pt>
                <c:pt idx="45">
                  <c:v>196404.32970930901</c:v>
                </c:pt>
                <c:pt idx="46">
                  <c:v>196767.95597101701</c:v>
                </c:pt>
                <c:pt idx="47">
                  <c:v>197131.58223272499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198586.08727955801</c:v>
                </c:pt>
                <c:pt idx="52">
                  <c:v>198949.71354126601</c:v>
                </c:pt>
                <c:pt idx="53">
                  <c:v>199313.33980297399</c:v>
                </c:pt>
                <c:pt idx="54">
                  <c:v>199676.966064682</c:v>
                </c:pt>
                <c:pt idx="55">
                  <c:v>200040.59232639099</c:v>
                </c:pt>
                <c:pt idx="56">
                  <c:v>200404.218588099</c:v>
                </c:pt>
                <c:pt idx="57">
                  <c:v>200767.84484980701</c:v>
                </c:pt>
                <c:pt idx="58">
                  <c:v>201131.47111151501</c:v>
                </c:pt>
                <c:pt idx="59">
                  <c:v>201495.09737322299</c:v>
                </c:pt>
                <c:pt idx="60">
                  <c:v>201858.72363493199</c:v>
                </c:pt>
                <c:pt idx="61">
                  <c:v>202222.34989663999</c:v>
                </c:pt>
                <c:pt idx="62">
                  <c:v>202585.976158348</c:v>
                </c:pt>
                <c:pt idx="63">
                  <c:v>202949.60242005601</c:v>
                </c:pt>
                <c:pt idx="64">
                  <c:v>203313.22868176401</c:v>
                </c:pt>
                <c:pt idx="65">
                  <c:v>203676.85494347199</c:v>
                </c:pt>
                <c:pt idx="66">
                  <c:v>204040.48120518099</c:v>
                </c:pt>
                <c:pt idx="67">
                  <c:v>204404.10746688899</c:v>
                </c:pt>
                <c:pt idx="68">
                  <c:v>204767.733728597</c:v>
                </c:pt>
                <c:pt idx="69">
                  <c:v>205131.35999030501</c:v>
                </c:pt>
                <c:pt idx="70">
                  <c:v>205494.98625201301</c:v>
                </c:pt>
                <c:pt idx="71">
                  <c:v>205858.61251372201</c:v>
                </c:pt>
                <c:pt idx="72">
                  <c:v>206222.23877543001</c:v>
                </c:pt>
                <c:pt idx="73">
                  <c:v>206585.86503713799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208040.37008397101</c:v>
                </c:pt>
                <c:pt idx="78">
                  <c:v>208403.99634567901</c:v>
                </c:pt>
                <c:pt idx="79">
                  <c:v>208767.62260738699</c:v>
                </c:pt>
                <c:pt idx="80">
                  <c:v>209131.248869095</c:v>
                </c:pt>
                <c:pt idx="81">
                  <c:v>209494.87513080399</c:v>
                </c:pt>
                <c:pt idx="82">
                  <c:v>209858.501392512</c:v>
                </c:pt>
                <c:pt idx="83">
                  <c:v>210222.12765422001</c:v>
                </c:pt>
                <c:pt idx="84">
                  <c:v>210585.75391592801</c:v>
                </c:pt>
                <c:pt idx="85">
                  <c:v>210949.38017763599</c:v>
                </c:pt>
                <c:pt idx="86">
                  <c:v>211313.00643934499</c:v>
                </c:pt>
                <c:pt idx="87">
                  <c:v>211676.63270105299</c:v>
                </c:pt>
                <c:pt idx="88">
                  <c:v>212040.258962761</c:v>
                </c:pt>
                <c:pt idx="89">
                  <c:v>212403.88522446901</c:v>
                </c:pt>
                <c:pt idx="90">
                  <c:v>212767.51148617701</c:v>
                </c:pt>
                <c:pt idx="91">
                  <c:v>213131.13774788499</c:v>
                </c:pt>
                <c:pt idx="92">
                  <c:v>213494.76400959399</c:v>
                </c:pt>
                <c:pt idx="93">
                  <c:v>213858.39027130199</c:v>
                </c:pt>
                <c:pt idx="94">
                  <c:v>214222.01653301</c:v>
                </c:pt>
                <c:pt idx="95">
                  <c:v>214585.64279471801</c:v>
                </c:pt>
                <c:pt idx="96">
                  <c:v>214949.26905642601</c:v>
                </c:pt>
                <c:pt idx="97">
                  <c:v>215312.89531813501</c:v>
                </c:pt>
                <c:pt idx="98">
                  <c:v>215676.52157984301</c:v>
                </c:pt>
                <c:pt idx="99">
                  <c:v>216040.14784155099</c:v>
                </c:pt>
              </c:numCache>
            </c:numRef>
          </c:xVal>
          <c:yVal>
            <c:numRef>
              <c:f>Sheet1!$Y$2:$Y$101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7F-43D0-B94F-5D2966A1E1BD}"/>
            </c:ext>
          </c:extLst>
        </c:ser>
        <c:ser>
          <c:idx val="6"/>
          <c:order val="6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0E620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Sheet1!$Z$2:$Z$101</c:f>
              <c:numCache>
                <c:formatCode>General</c:formatCode>
                <c:ptCount val="100"/>
                <c:pt idx="0">
                  <c:v>216046.54665853499</c:v>
                </c:pt>
                <c:pt idx="1">
                  <c:v>216410.172920243</c:v>
                </c:pt>
                <c:pt idx="2">
                  <c:v>216773.79918195101</c:v>
                </c:pt>
                <c:pt idx="3">
                  <c:v>217137.42544366</c:v>
                </c:pt>
                <c:pt idx="4">
                  <c:v>217501.05170536801</c:v>
                </c:pt>
                <c:pt idx="5">
                  <c:v>217864.67796707599</c:v>
                </c:pt>
                <c:pt idx="6">
                  <c:v>218228.30422878399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219682.80927561701</c:v>
                </c:pt>
                <c:pt idx="11">
                  <c:v>220046.43553732499</c:v>
                </c:pt>
                <c:pt idx="12">
                  <c:v>220410.06179903299</c:v>
                </c:pt>
                <c:pt idx="13">
                  <c:v>220773.68806074199</c:v>
                </c:pt>
                <c:pt idx="14">
                  <c:v>221137.31432244999</c:v>
                </c:pt>
                <c:pt idx="15">
                  <c:v>221500.940584158</c:v>
                </c:pt>
                <c:pt idx="16">
                  <c:v>221864.56684586601</c:v>
                </c:pt>
                <c:pt idx="17">
                  <c:v>222228.19310757401</c:v>
                </c:pt>
                <c:pt idx="18">
                  <c:v>222591.81936928199</c:v>
                </c:pt>
                <c:pt idx="19">
                  <c:v>222955.44563099099</c:v>
                </c:pt>
                <c:pt idx="20">
                  <c:v>223319.07189269899</c:v>
                </c:pt>
                <c:pt idx="21">
                  <c:v>223682.698154407</c:v>
                </c:pt>
                <c:pt idx="22">
                  <c:v>224046.32441611501</c:v>
                </c:pt>
                <c:pt idx="23">
                  <c:v>224409.95067782301</c:v>
                </c:pt>
                <c:pt idx="24">
                  <c:v>224773.57693953201</c:v>
                </c:pt>
                <c:pt idx="25">
                  <c:v>225137.20320123999</c:v>
                </c:pt>
                <c:pt idx="26">
                  <c:v>225500.82946294799</c:v>
                </c:pt>
                <c:pt idx="27">
                  <c:v>225864.455724656</c:v>
                </c:pt>
                <c:pt idx="28">
                  <c:v>226228.08198636401</c:v>
                </c:pt>
                <c:pt idx="29">
                  <c:v>226591.708248073</c:v>
                </c:pt>
                <c:pt idx="30">
                  <c:v>226955.33450978101</c:v>
                </c:pt>
                <c:pt idx="31">
                  <c:v>227318.96077148899</c:v>
                </c:pt>
                <c:pt idx="32">
                  <c:v>227682.58703319699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229137.09208003001</c:v>
                </c:pt>
                <c:pt idx="37">
                  <c:v>229500.71834173799</c:v>
                </c:pt>
                <c:pt idx="38">
                  <c:v>229864.34460344599</c:v>
                </c:pt>
                <c:pt idx="39">
                  <c:v>230227.97086515499</c:v>
                </c:pt>
                <c:pt idx="40">
                  <c:v>230591.59712686299</c:v>
                </c:pt>
                <c:pt idx="41">
                  <c:v>230955.223388571</c:v>
                </c:pt>
                <c:pt idx="42">
                  <c:v>231318.84965027901</c:v>
                </c:pt>
                <c:pt idx="43">
                  <c:v>231682.47591198701</c:v>
                </c:pt>
                <c:pt idx="44">
                  <c:v>232046.10217369499</c:v>
                </c:pt>
                <c:pt idx="45">
                  <c:v>232409.72843540399</c:v>
                </c:pt>
                <c:pt idx="46">
                  <c:v>232773.35469711199</c:v>
                </c:pt>
                <c:pt idx="47">
                  <c:v>233136.98095882</c:v>
                </c:pt>
                <c:pt idx="48">
                  <c:v>233500.60722052801</c:v>
                </c:pt>
                <c:pt idx="49">
                  <c:v>233864.23348223601</c:v>
                </c:pt>
                <c:pt idx="50">
                  <c:v>234227.85974394501</c:v>
                </c:pt>
                <c:pt idx="51">
                  <c:v>234591.48600565299</c:v>
                </c:pt>
                <c:pt idx="52">
                  <c:v>234955.11226736099</c:v>
                </c:pt>
                <c:pt idx="53">
                  <c:v>235318.738529069</c:v>
                </c:pt>
                <c:pt idx="54">
                  <c:v>235682.36479077701</c:v>
                </c:pt>
                <c:pt idx="55">
                  <c:v>236045.991052486</c:v>
                </c:pt>
                <c:pt idx="56">
                  <c:v>236409.61731419401</c:v>
                </c:pt>
                <c:pt idx="57">
                  <c:v>236773.24357590199</c:v>
                </c:pt>
                <c:pt idx="58">
                  <c:v>237136.86983760999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238591.37488444301</c:v>
                </c:pt>
                <c:pt idx="63">
                  <c:v>238955.00114615099</c:v>
                </c:pt>
                <c:pt idx="64">
                  <c:v>239318.62740785899</c:v>
                </c:pt>
                <c:pt idx="65">
                  <c:v>239682.253669567</c:v>
                </c:pt>
                <c:pt idx="66">
                  <c:v>240045.87993127599</c:v>
                </c:pt>
                <c:pt idx="67">
                  <c:v>240409.506192984</c:v>
                </c:pt>
                <c:pt idx="68">
                  <c:v>240773.13245469201</c:v>
                </c:pt>
                <c:pt idx="69">
                  <c:v>241136.75871640001</c:v>
                </c:pt>
                <c:pt idx="70">
                  <c:v>241500.38497810799</c:v>
                </c:pt>
                <c:pt idx="71">
                  <c:v>241864.01123981699</c:v>
                </c:pt>
                <c:pt idx="72">
                  <c:v>242227.63750152499</c:v>
                </c:pt>
                <c:pt idx="73">
                  <c:v>242591.263763233</c:v>
                </c:pt>
                <c:pt idx="74">
                  <c:v>242954.89002494101</c:v>
                </c:pt>
                <c:pt idx="75">
                  <c:v>243318.51628664901</c:v>
                </c:pt>
                <c:pt idx="76">
                  <c:v>243682.14254835801</c:v>
                </c:pt>
                <c:pt idx="77">
                  <c:v>244045.76881006599</c:v>
                </c:pt>
                <c:pt idx="78">
                  <c:v>244409.39507177399</c:v>
                </c:pt>
                <c:pt idx="79">
                  <c:v>244773.021333482</c:v>
                </c:pt>
                <c:pt idx="80">
                  <c:v>245136.64759519001</c:v>
                </c:pt>
                <c:pt idx="81">
                  <c:v>245500.273856899</c:v>
                </c:pt>
                <c:pt idx="82">
                  <c:v>245863.90011860701</c:v>
                </c:pt>
                <c:pt idx="83">
                  <c:v>246227.52638031499</c:v>
                </c:pt>
                <c:pt idx="84">
                  <c:v>246591.15264202299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248045.65768885601</c:v>
                </c:pt>
                <c:pt idx="89">
                  <c:v>248409.28395056399</c:v>
                </c:pt>
                <c:pt idx="90">
                  <c:v>248772.91021227199</c:v>
                </c:pt>
                <c:pt idx="91">
                  <c:v>249136.53647398</c:v>
                </c:pt>
                <c:pt idx="92">
                  <c:v>249500.16273568899</c:v>
                </c:pt>
                <c:pt idx="93">
                  <c:v>249863.788997397</c:v>
                </c:pt>
                <c:pt idx="94">
                  <c:v>250227.41525910501</c:v>
                </c:pt>
                <c:pt idx="95">
                  <c:v>250591.04152081301</c:v>
                </c:pt>
                <c:pt idx="96">
                  <c:v>250954.66778252099</c:v>
                </c:pt>
                <c:pt idx="97">
                  <c:v>251318.29404422999</c:v>
                </c:pt>
                <c:pt idx="98">
                  <c:v>251681.92030593799</c:v>
                </c:pt>
                <c:pt idx="99">
                  <c:v>252045.546567646</c:v>
                </c:pt>
              </c:numCache>
            </c:numRef>
          </c:xVal>
          <c:yVal>
            <c:numRef>
              <c:f>Sheet1!$AC$2:$AC$101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7F-43D0-B94F-5D2966A1E1BD}"/>
            </c:ext>
          </c:extLst>
        </c:ser>
        <c:ser>
          <c:idx val="7"/>
          <c:order val="7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023F6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Sheet1!$AD$2:$AD$101</c:f>
              <c:numCache>
                <c:formatCode>General</c:formatCode>
                <c:ptCount val="100"/>
                <c:pt idx="0">
                  <c:v>252049.97396763499</c:v>
                </c:pt>
                <c:pt idx="1">
                  <c:v>252413.60022934299</c:v>
                </c:pt>
                <c:pt idx="2">
                  <c:v>252777.226491051</c:v>
                </c:pt>
                <c:pt idx="3">
                  <c:v>253140.85275275999</c:v>
                </c:pt>
                <c:pt idx="4">
                  <c:v>253504.479014468</c:v>
                </c:pt>
                <c:pt idx="5">
                  <c:v>253868.10527617601</c:v>
                </c:pt>
                <c:pt idx="6">
                  <c:v>254231.73153788401</c:v>
                </c:pt>
                <c:pt idx="7">
                  <c:v>254595.35779959199</c:v>
                </c:pt>
                <c:pt idx="8">
                  <c:v>254958.98406130099</c:v>
                </c:pt>
                <c:pt idx="9">
                  <c:v>255322.61032300899</c:v>
                </c:pt>
                <c:pt idx="10">
                  <c:v>255686.236584717</c:v>
                </c:pt>
                <c:pt idx="11">
                  <c:v>256049.86284642501</c:v>
                </c:pt>
                <c:pt idx="12">
                  <c:v>256413.48910813301</c:v>
                </c:pt>
                <c:pt idx="13">
                  <c:v>256777.11536984201</c:v>
                </c:pt>
                <c:pt idx="14">
                  <c:v>257140.74163154999</c:v>
                </c:pt>
                <c:pt idx="15">
                  <c:v>257504.36789325799</c:v>
                </c:pt>
                <c:pt idx="16">
                  <c:v>257867.994154966</c:v>
                </c:pt>
                <c:pt idx="17">
                  <c:v>258231.62041667401</c:v>
                </c:pt>
                <c:pt idx="18">
                  <c:v>258595.24667838201</c:v>
                </c:pt>
                <c:pt idx="19">
                  <c:v>258958.87294009101</c:v>
                </c:pt>
                <c:pt idx="20">
                  <c:v>259322.49920179899</c:v>
                </c:pt>
                <c:pt idx="21">
                  <c:v>259686.12546350699</c:v>
                </c:pt>
                <c:pt idx="22">
                  <c:v>260049.751725215</c:v>
                </c:pt>
                <c:pt idx="23">
                  <c:v>260413.37798692301</c:v>
                </c:pt>
                <c:pt idx="24">
                  <c:v>260777.004248632</c:v>
                </c:pt>
                <c:pt idx="25">
                  <c:v>261140.63051034001</c:v>
                </c:pt>
                <c:pt idx="26">
                  <c:v>261504.25677204799</c:v>
                </c:pt>
                <c:pt idx="27">
                  <c:v>261867.88303375599</c:v>
                </c:pt>
                <c:pt idx="28">
                  <c:v>262231.50929546403</c:v>
                </c:pt>
                <c:pt idx="29">
                  <c:v>262595.13555717299</c:v>
                </c:pt>
                <c:pt idx="30">
                  <c:v>262958.76181888097</c:v>
                </c:pt>
                <c:pt idx="31">
                  <c:v>263322.38808058901</c:v>
                </c:pt>
                <c:pt idx="32">
                  <c:v>263686.01434229698</c:v>
                </c:pt>
                <c:pt idx="33">
                  <c:v>264049.64060400502</c:v>
                </c:pt>
                <c:pt idx="34">
                  <c:v>264413.26686571399</c:v>
                </c:pt>
                <c:pt idx="35">
                  <c:v>264776.89312742202</c:v>
                </c:pt>
                <c:pt idx="36">
                  <c:v>265140.51938913</c:v>
                </c:pt>
                <c:pt idx="37">
                  <c:v>265504.14565083798</c:v>
                </c:pt>
                <c:pt idx="38">
                  <c:v>265867.77191254601</c:v>
                </c:pt>
                <c:pt idx="39">
                  <c:v>266231.39817425399</c:v>
                </c:pt>
                <c:pt idx="40">
                  <c:v>266595.02443596302</c:v>
                </c:pt>
                <c:pt idx="41">
                  <c:v>266958.65069767099</c:v>
                </c:pt>
                <c:pt idx="42">
                  <c:v>267322.27695937903</c:v>
                </c:pt>
                <c:pt idx="43">
                  <c:v>267685.90322108701</c:v>
                </c:pt>
                <c:pt idx="44">
                  <c:v>268049.52948279498</c:v>
                </c:pt>
                <c:pt idx="45">
                  <c:v>268413.15574450401</c:v>
                </c:pt>
                <c:pt idx="46">
                  <c:v>268776.78200621199</c:v>
                </c:pt>
                <c:pt idx="47">
                  <c:v>269140.40826792002</c:v>
                </c:pt>
                <c:pt idx="48">
                  <c:v>269504.034529628</c:v>
                </c:pt>
                <c:pt idx="49">
                  <c:v>269867.66079133598</c:v>
                </c:pt>
                <c:pt idx="50">
                  <c:v>270231.287053045</c:v>
                </c:pt>
                <c:pt idx="51">
                  <c:v>270594.91331475298</c:v>
                </c:pt>
                <c:pt idx="52">
                  <c:v>270958.53957646101</c:v>
                </c:pt>
                <c:pt idx="53">
                  <c:v>271322.16583816899</c:v>
                </c:pt>
                <c:pt idx="54">
                  <c:v>271685.79209987703</c:v>
                </c:pt>
                <c:pt idx="55">
                  <c:v>272049.41836158599</c:v>
                </c:pt>
                <c:pt idx="56">
                  <c:v>272413.04462329397</c:v>
                </c:pt>
                <c:pt idx="57">
                  <c:v>272776.67088500201</c:v>
                </c:pt>
                <c:pt idx="58">
                  <c:v>273140.29714670999</c:v>
                </c:pt>
                <c:pt idx="59">
                  <c:v>273503.92340841802</c:v>
                </c:pt>
                <c:pt idx="60">
                  <c:v>273867.54967012699</c:v>
                </c:pt>
                <c:pt idx="61">
                  <c:v>274231.17593183502</c:v>
                </c:pt>
                <c:pt idx="62">
                  <c:v>274594.802193543</c:v>
                </c:pt>
                <c:pt idx="63">
                  <c:v>274958.42845525098</c:v>
                </c:pt>
                <c:pt idx="64">
                  <c:v>275322.05471695901</c:v>
                </c:pt>
                <c:pt idx="65">
                  <c:v>275685.68097866699</c:v>
                </c:pt>
                <c:pt idx="66">
                  <c:v>276049.30724037602</c:v>
                </c:pt>
                <c:pt idx="67">
                  <c:v>276412.93350208399</c:v>
                </c:pt>
                <c:pt idx="68">
                  <c:v>276776.55976379197</c:v>
                </c:pt>
                <c:pt idx="69">
                  <c:v>277140.18602550001</c:v>
                </c:pt>
                <c:pt idx="70">
                  <c:v>277503.81228720798</c:v>
                </c:pt>
                <c:pt idx="71">
                  <c:v>277867.43854891701</c:v>
                </c:pt>
                <c:pt idx="72">
                  <c:v>278231.06481062499</c:v>
                </c:pt>
                <c:pt idx="73">
                  <c:v>278594.69107233302</c:v>
                </c:pt>
                <c:pt idx="74">
                  <c:v>278958.317334041</c:v>
                </c:pt>
                <c:pt idx="75">
                  <c:v>279321.94359574898</c:v>
                </c:pt>
                <c:pt idx="76">
                  <c:v>279685.569857458</c:v>
                </c:pt>
                <c:pt idx="77">
                  <c:v>280049.19611916598</c:v>
                </c:pt>
                <c:pt idx="78">
                  <c:v>280412.82238087401</c:v>
                </c:pt>
                <c:pt idx="79">
                  <c:v>280776.44864258199</c:v>
                </c:pt>
                <c:pt idx="80">
                  <c:v>281140.07490429003</c:v>
                </c:pt>
                <c:pt idx="81">
                  <c:v>281503.70116599899</c:v>
                </c:pt>
                <c:pt idx="82">
                  <c:v>281867.32742770697</c:v>
                </c:pt>
                <c:pt idx="83">
                  <c:v>282230.95368941501</c:v>
                </c:pt>
                <c:pt idx="84">
                  <c:v>282594.57995112299</c:v>
                </c:pt>
                <c:pt idx="85">
                  <c:v>282958.20621283102</c:v>
                </c:pt>
                <c:pt idx="86">
                  <c:v>283321.83247453999</c:v>
                </c:pt>
                <c:pt idx="87">
                  <c:v>283685.45873624802</c:v>
                </c:pt>
                <c:pt idx="88">
                  <c:v>284049.084997956</c:v>
                </c:pt>
                <c:pt idx="89">
                  <c:v>284412.71125966398</c:v>
                </c:pt>
                <c:pt idx="90">
                  <c:v>284776.33752137201</c:v>
                </c:pt>
                <c:pt idx="91">
                  <c:v>285139.96378307999</c:v>
                </c:pt>
                <c:pt idx="92">
                  <c:v>285503.59004478902</c:v>
                </c:pt>
                <c:pt idx="93">
                  <c:v>285867.21630649699</c:v>
                </c:pt>
                <c:pt idx="94">
                  <c:v>286230.84256820497</c:v>
                </c:pt>
                <c:pt idx="95">
                  <c:v>286594.46882991301</c:v>
                </c:pt>
                <c:pt idx="96">
                  <c:v>286958.09509162098</c:v>
                </c:pt>
                <c:pt idx="97">
                  <c:v>287321.72135333001</c:v>
                </c:pt>
                <c:pt idx="98">
                  <c:v>287685.34761503799</c:v>
                </c:pt>
                <c:pt idx="99">
                  <c:v>288048.97387674602</c:v>
                </c:pt>
              </c:numCache>
            </c:numRef>
          </c:xVal>
          <c:yVal>
            <c:numRef>
              <c:f>Sheet1!$AG$2:$AG$101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7F-43D0-B94F-5D2966A1E1BD}"/>
            </c:ext>
          </c:extLst>
        </c:ser>
        <c:ser>
          <c:idx val="8"/>
          <c:order val="8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62250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Sheet1!$AH$2:$AH$101</c:f>
              <c:numCache>
                <c:formatCode>General</c:formatCode>
                <c:ptCount val="100"/>
                <c:pt idx="0">
                  <c:v>288055.55969672999</c:v>
                </c:pt>
                <c:pt idx="1">
                  <c:v>288419.18595843803</c:v>
                </c:pt>
                <c:pt idx="2">
                  <c:v>288782.81222014601</c:v>
                </c:pt>
                <c:pt idx="3">
                  <c:v>289146.43848185497</c:v>
                </c:pt>
                <c:pt idx="4">
                  <c:v>289510.06474356301</c:v>
                </c:pt>
                <c:pt idx="5">
                  <c:v>289873.69100527099</c:v>
                </c:pt>
                <c:pt idx="6">
                  <c:v>290237.31726697902</c:v>
                </c:pt>
                <c:pt idx="7">
                  <c:v>290600.943528687</c:v>
                </c:pt>
                <c:pt idx="8">
                  <c:v>290964.56979039602</c:v>
                </c:pt>
                <c:pt idx="9">
                  <c:v>291328.196052104</c:v>
                </c:pt>
                <c:pt idx="10">
                  <c:v>291691.82231381198</c:v>
                </c:pt>
                <c:pt idx="11">
                  <c:v>292055.44857552001</c:v>
                </c:pt>
                <c:pt idx="12">
                  <c:v>292419.07483722799</c:v>
                </c:pt>
                <c:pt idx="13">
                  <c:v>292782.70109893702</c:v>
                </c:pt>
                <c:pt idx="14">
                  <c:v>293146.32736064499</c:v>
                </c:pt>
                <c:pt idx="15">
                  <c:v>293509.95362235297</c:v>
                </c:pt>
                <c:pt idx="16">
                  <c:v>293873.57988406101</c:v>
                </c:pt>
                <c:pt idx="17">
                  <c:v>294237.20614576899</c:v>
                </c:pt>
                <c:pt idx="18">
                  <c:v>294600.83240747702</c:v>
                </c:pt>
                <c:pt idx="19">
                  <c:v>294964.45866918599</c:v>
                </c:pt>
                <c:pt idx="20">
                  <c:v>295328.08493089402</c:v>
                </c:pt>
                <c:pt idx="21">
                  <c:v>295691.711192602</c:v>
                </c:pt>
                <c:pt idx="22">
                  <c:v>296055.33745430998</c:v>
                </c:pt>
                <c:pt idx="23">
                  <c:v>296418.96371601801</c:v>
                </c:pt>
                <c:pt idx="24">
                  <c:v>296782.58997772698</c:v>
                </c:pt>
                <c:pt idx="25">
                  <c:v>297146.21623943502</c:v>
                </c:pt>
                <c:pt idx="26">
                  <c:v>297509.84250114299</c:v>
                </c:pt>
                <c:pt idx="27">
                  <c:v>297873.46876285097</c:v>
                </c:pt>
                <c:pt idx="28">
                  <c:v>298237.09502455901</c:v>
                </c:pt>
                <c:pt idx="29">
                  <c:v>298600.72128626797</c:v>
                </c:pt>
                <c:pt idx="30">
                  <c:v>298964.34754797601</c:v>
                </c:pt>
                <c:pt idx="31">
                  <c:v>299327.97380968399</c:v>
                </c:pt>
                <c:pt idx="32">
                  <c:v>299691.60007139202</c:v>
                </c:pt>
                <c:pt idx="33">
                  <c:v>300055.2263331</c:v>
                </c:pt>
                <c:pt idx="34">
                  <c:v>300418.85259480902</c:v>
                </c:pt>
                <c:pt idx="35">
                  <c:v>300782.478856517</c:v>
                </c:pt>
                <c:pt idx="36">
                  <c:v>301146.10511822498</c:v>
                </c:pt>
                <c:pt idx="37">
                  <c:v>301509.73137993301</c:v>
                </c:pt>
                <c:pt idx="38">
                  <c:v>301873.35764164099</c:v>
                </c:pt>
                <c:pt idx="39">
                  <c:v>302236.98390335002</c:v>
                </c:pt>
                <c:pt idx="40">
                  <c:v>302600.61016505799</c:v>
                </c:pt>
                <c:pt idx="41">
                  <c:v>302964.23642676597</c:v>
                </c:pt>
                <c:pt idx="42">
                  <c:v>303327.86268847401</c:v>
                </c:pt>
                <c:pt idx="43">
                  <c:v>303691.48895018199</c:v>
                </c:pt>
                <c:pt idx="44">
                  <c:v>304055.11521189002</c:v>
                </c:pt>
                <c:pt idx="45">
                  <c:v>304418.74147359899</c:v>
                </c:pt>
                <c:pt idx="46">
                  <c:v>304782.36773530702</c:v>
                </c:pt>
                <c:pt idx="47">
                  <c:v>305145.993997015</c:v>
                </c:pt>
                <c:pt idx="48">
                  <c:v>305509.62025872298</c:v>
                </c:pt>
                <c:pt idx="49">
                  <c:v>305873.24652043101</c:v>
                </c:pt>
                <c:pt idx="50">
                  <c:v>306236.87278213998</c:v>
                </c:pt>
                <c:pt idx="51">
                  <c:v>306600.49904384802</c:v>
                </c:pt>
                <c:pt idx="52">
                  <c:v>306964.12530555599</c:v>
                </c:pt>
                <c:pt idx="53">
                  <c:v>307327.75156726397</c:v>
                </c:pt>
                <c:pt idx="54">
                  <c:v>307691.37782897201</c:v>
                </c:pt>
                <c:pt idx="55">
                  <c:v>308055.00409068097</c:v>
                </c:pt>
                <c:pt idx="56">
                  <c:v>308418.63035238901</c:v>
                </c:pt>
                <c:pt idx="57">
                  <c:v>308782.25661409699</c:v>
                </c:pt>
                <c:pt idx="58">
                  <c:v>309145.88287580502</c:v>
                </c:pt>
                <c:pt idx="59">
                  <c:v>309509.509137513</c:v>
                </c:pt>
                <c:pt idx="60">
                  <c:v>309873.13539922202</c:v>
                </c:pt>
                <c:pt idx="61">
                  <c:v>310236.76166093</c:v>
                </c:pt>
                <c:pt idx="62">
                  <c:v>310600.38792263798</c:v>
                </c:pt>
                <c:pt idx="63">
                  <c:v>310964.01418434602</c:v>
                </c:pt>
                <c:pt idx="64">
                  <c:v>311327.64044605399</c:v>
                </c:pt>
                <c:pt idx="65">
                  <c:v>311691.26670776302</c:v>
                </c:pt>
                <c:pt idx="66">
                  <c:v>312054.892969471</c:v>
                </c:pt>
                <c:pt idx="67">
                  <c:v>312418.51923117897</c:v>
                </c:pt>
                <c:pt idx="68">
                  <c:v>312782.14549288701</c:v>
                </c:pt>
                <c:pt idx="69">
                  <c:v>313145.77175459499</c:v>
                </c:pt>
                <c:pt idx="70">
                  <c:v>313509.39801630302</c:v>
                </c:pt>
                <c:pt idx="71">
                  <c:v>313873.02427801199</c:v>
                </c:pt>
                <c:pt idx="72">
                  <c:v>314236.65053972002</c:v>
                </c:pt>
                <c:pt idx="73">
                  <c:v>314600.276801428</c:v>
                </c:pt>
                <c:pt idx="74">
                  <c:v>314963.90306313598</c:v>
                </c:pt>
                <c:pt idx="75">
                  <c:v>315327.52932484401</c:v>
                </c:pt>
                <c:pt idx="76">
                  <c:v>315691.15558655298</c:v>
                </c:pt>
                <c:pt idx="77">
                  <c:v>316054.78184826102</c:v>
                </c:pt>
                <c:pt idx="78">
                  <c:v>316418.40810996899</c:v>
                </c:pt>
                <c:pt idx="79">
                  <c:v>316782.03437167697</c:v>
                </c:pt>
                <c:pt idx="80">
                  <c:v>317145.66063338501</c:v>
                </c:pt>
                <c:pt idx="81">
                  <c:v>317509.28689509397</c:v>
                </c:pt>
                <c:pt idx="82">
                  <c:v>317872.91315680201</c:v>
                </c:pt>
                <c:pt idx="83">
                  <c:v>318236.53941850999</c:v>
                </c:pt>
                <c:pt idx="84">
                  <c:v>318600.16568021802</c:v>
                </c:pt>
                <c:pt idx="85">
                  <c:v>318963.791941926</c:v>
                </c:pt>
                <c:pt idx="86">
                  <c:v>319327.41820363502</c:v>
                </c:pt>
                <c:pt idx="87">
                  <c:v>319691.044465343</c:v>
                </c:pt>
                <c:pt idx="88">
                  <c:v>320054.67072705098</c:v>
                </c:pt>
                <c:pt idx="89">
                  <c:v>320418.29698875902</c:v>
                </c:pt>
                <c:pt idx="90">
                  <c:v>320781.92325046699</c:v>
                </c:pt>
                <c:pt idx="91">
                  <c:v>321145.54951217602</c:v>
                </c:pt>
                <c:pt idx="92">
                  <c:v>321509.175773884</c:v>
                </c:pt>
                <c:pt idx="93">
                  <c:v>321872.80203559197</c:v>
                </c:pt>
                <c:pt idx="94">
                  <c:v>322236.42829730001</c:v>
                </c:pt>
                <c:pt idx="95">
                  <c:v>322600.05455900799</c:v>
                </c:pt>
                <c:pt idx="96">
                  <c:v>322963.68082071602</c:v>
                </c:pt>
                <c:pt idx="97">
                  <c:v>323327.30708242499</c:v>
                </c:pt>
                <c:pt idx="98">
                  <c:v>323690.93334413302</c:v>
                </c:pt>
                <c:pt idx="99">
                  <c:v>324054.559605841</c:v>
                </c:pt>
              </c:numCache>
            </c:numRef>
          </c:xVal>
          <c:yVal>
            <c:numRef>
              <c:f>Sheet1!$AK$2:$AK$101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7F-43D0-B94F-5D2966A1E1BD}"/>
            </c:ext>
          </c:extLst>
        </c:ser>
        <c:ser>
          <c:idx val="9"/>
          <c:order val="9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55026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Sheet1!$AL$2:$AL$101</c:f>
              <c:numCache>
                <c:formatCode>General</c:formatCode>
                <c:ptCount val="100"/>
                <c:pt idx="0">
                  <c:v>324059.01900582999</c:v>
                </c:pt>
                <c:pt idx="1">
                  <c:v>324422.64526753803</c:v>
                </c:pt>
                <c:pt idx="2">
                  <c:v>324786.27152924601</c:v>
                </c:pt>
                <c:pt idx="3">
                  <c:v>325149.89779095497</c:v>
                </c:pt>
                <c:pt idx="4">
                  <c:v>325513.52405266301</c:v>
                </c:pt>
                <c:pt idx="5">
                  <c:v>325877.15031437099</c:v>
                </c:pt>
                <c:pt idx="6">
                  <c:v>326240.77657607902</c:v>
                </c:pt>
                <c:pt idx="7">
                  <c:v>326604.402837787</c:v>
                </c:pt>
                <c:pt idx="8">
                  <c:v>326968.02909949602</c:v>
                </c:pt>
                <c:pt idx="9">
                  <c:v>327331.655361204</c:v>
                </c:pt>
                <c:pt idx="10">
                  <c:v>327695.28162291198</c:v>
                </c:pt>
                <c:pt idx="11">
                  <c:v>328058.90788462001</c:v>
                </c:pt>
                <c:pt idx="12">
                  <c:v>328422.53414632799</c:v>
                </c:pt>
                <c:pt idx="13">
                  <c:v>328786.16040803702</c:v>
                </c:pt>
                <c:pt idx="14">
                  <c:v>329149.78666974499</c:v>
                </c:pt>
                <c:pt idx="15">
                  <c:v>329513.41293145297</c:v>
                </c:pt>
                <c:pt idx="16">
                  <c:v>329877.03919316101</c:v>
                </c:pt>
                <c:pt idx="17">
                  <c:v>330240.66545486898</c:v>
                </c:pt>
                <c:pt idx="18">
                  <c:v>330604.29171657702</c:v>
                </c:pt>
                <c:pt idx="19">
                  <c:v>330967.91797828599</c:v>
                </c:pt>
                <c:pt idx="20">
                  <c:v>331331.54423999402</c:v>
                </c:pt>
                <c:pt idx="21">
                  <c:v>331695.170501702</c:v>
                </c:pt>
                <c:pt idx="22">
                  <c:v>332058.79676340998</c:v>
                </c:pt>
                <c:pt idx="23">
                  <c:v>332422.42302511801</c:v>
                </c:pt>
                <c:pt idx="24">
                  <c:v>332786.04928682698</c:v>
                </c:pt>
                <c:pt idx="25">
                  <c:v>333149.67554853501</c:v>
                </c:pt>
                <c:pt idx="26">
                  <c:v>333513.30181024299</c:v>
                </c:pt>
                <c:pt idx="27">
                  <c:v>333876.92807195103</c:v>
                </c:pt>
                <c:pt idx="28">
                  <c:v>334240.55433365901</c:v>
                </c:pt>
                <c:pt idx="29">
                  <c:v>334604.18059536797</c:v>
                </c:pt>
                <c:pt idx="30">
                  <c:v>334967.80685707601</c:v>
                </c:pt>
                <c:pt idx="31">
                  <c:v>335331.43311878399</c:v>
                </c:pt>
                <c:pt idx="32">
                  <c:v>335695.05938049202</c:v>
                </c:pt>
                <c:pt idx="33">
                  <c:v>336058.6856422</c:v>
                </c:pt>
                <c:pt idx="34">
                  <c:v>336422.31190390902</c:v>
                </c:pt>
                <c:pt idx="35">
                  <c:v>336785.938165617</c:v>
                </c:pt>
                <c:pt idx="36">
                  <c:v>337149.56442732498</c:v>
                </c:pt>
                <c:pt idx="37">
                  <c:v>337513.19068903301</c:v>
                </c:pt>
                <c:pt idx="38">
                  <c:v>337876.81695074099</c:v>
                </c:pt>
                <c:pt idx="39">
                  <c:v>338240.44321245002</c:v>
                </c:pt>
                <c:pt idx="40">
                  <c:v>338604.06947415799</c:v>
                </c:pt>
                <c:pt idx="41">
                  <c:v>338967.69573586597</c:v>
                </c:pt>
                <c:pt idx="42">
                  <c:v>339331.32199757401</c:v>
                </c:pt>
                <c:pt idx="43">
                  <c:v>339694.94825928198</c:v>
                </c:pt>
                <c:pt idx="44">
                  <c:v>340058.57452099002</c:v>
                </c:pt>
                <c:pt idx="45">
                  <c:v>340422.20078269899</c:v>
                </c:pt>
                <c:pt idx="46">
                  <c:v>340785.82704440702</c:v>
                </c:pt>
                <c:pt idx="47">
                  <c:v>341149.453306115</c:v>
                </c:pt>
                <c:pt idx="48">
                  <c:v>341513.07956782298</c:v>
                </c:pt>
                <c:pt idx="49">
                  <c:v>341876.70582953101</c:v>
                </c:pt>
                <c:pt idx="50">
                  <c:v>342240.33209123998</c:v>
                </c:pt>
                <c:pt idx="51">
                  <c:v>342603.95835294802</c:v>
                </c:pt>
                <c:pt idx="52">
                  <c:v>342967.58461465599</c:v>
                </c:pt>
                <c:pt idx="53">
                  <c:v>343331.21087636403</c:v>
                </c:pt>
                <c:pt idx="54">
                  <c:v>343694.83713807201</c:v>
                </c:pt>
                <c:pt idx="55">
                  <c:v>344058.46339978097</c:v>
                </c:pt>
                <c:pt idx="56">
                  <c:v>344422.08966148901</c:v>
                </c:pt>
                <c:pt idx="57">
                  <c:v>344785.71592319699</c:v>
                </c:pt>
                <c:pt idx="58">
                  <c:v>345149.34218490502</c:v>
                </c:pt>
                <c:pt idx="59">
                  <c:v>345512.968446613</c:v>
                </c:pt>
                <c:pt idx="60">
                  <c:v>345876.59470832202</c:v>
                </c:pt>
                <c:pt idx="61">
                  <c:v>346240.22097003</c:v>
                </c:pt>
                <c:pt idx="62">
                  <c:v>346603.84723173798</c:v>
                </c:pt>
                <c:pt idx="63">
                  <c:v>346967.47349344601</c:v>
                </c:pt>
                <c:pt idx="64">
                  <c:v>347331.09975515399</c:v>
                </c:pt>
                <c:pt idx="65">
                  <c:v>347694.72601686302</c:v>
                </c:pt>
                <c:pt idx="66">
                  <c:v>348058.35227857099</c:v>
                </c:pt>
                <c:pt idx="67">
                  <c:v>348421.97854027897</c:v>
                </c:pt>
                <c:pt idx="68">
                  <c:v>348785.60480198701</c:v>
                </c:pt>
                <c:pt idx="69">
                  <c:v>349149.23106369498</c:v>
                </c:pt>
                <c:pt idx="70">
                  <c:v>349512.85732540302</c:v>
                </c:pt>
                <c:pt idx="71">
                  <c:v>349876.48358711199</c:v>
                </c:pt>
                <c:pt idx="72">
                  <c:v>350240.10984882002</c:v>
                </c:pt>
                <c:pt idx="73">
                  <c:v>350603.736110528</c:v>
                </c:pt>
                <c:pt idx="74">
                  <c:v>350967.36237223598</c:v>
                </c:pt>
                <c:pt idx="75">
                  <c:v>351330.98863394401</c:v>
                </c:pt>
                <c:pt idx="76">
                  <c:v>351694.61489565298</c:v>
                </c:pt>
                <c:pt idx="77">
                  <c:v>352058.24115736102</c:v>
                </c:pt>
                <c:pt idx="78">
                  <c:v>352421.86741906899</c:v>
                </c:pt>
                <c:pt idx="79">
                  <c:v>352785.49368077703</c:v>
                </c:pt>
                <c:pt idx="80">
                  <c:v>353149.11994248501</c:v>
                </c:pt>
                <c:pt idx="81">
                  <c:v>353512.74620419397</c:v>
                </c:pt>
                <c:pt idx="82">
                  <c:v>353876.37246590201</c:v>
                </c:pt>
                <c:pt idx="83">
                  <c:v>354239.99872760999</c:v>
                </c:pt>
                <c:pt idx="84">
                  <c:v>354603.62498931802</c:v>
                </c:pt>
                <c:pt idx="85">
                  <c:v>354967.251251026</c:v>
                </c:pt>
                <c:pt idx="86">
                  <c:v>355330.87751273502</c:v>
                </c:pt>
                <c:pt idx="87">
                  <c:v>355694.503774443</c:v>
                </c:pt>
                <c:pt idx="88">
                  <c:v>356058.13003615098</c:v>
                </c:pt>
                <c:pt idx="89">
                  <c:v>356421.75629785901</c:v>
                </c:pt>
                <c:pt idx="90">
                  <c:v>356785.38255956699</c:v>
                </c:pt>
                <c:pt idx="91">
                  <c:v>357149.00882127503</c:v>
                </c:pt>
                <c:pt idx="92">
                  <c:v>357512.63508298399</c:v>
                </c:pt>
                <c:pt idx="93">
                  <c:v>357876.26134469197</c:v>
                </c:pt>
                <c:pt idx="94">
                  <c:v>358239.88760640001</c:v>
                </c:pt>
                <c:pt idx="95">
                  <c:v>358603.51386810798</c:v>
                </c:pt>
                <c:pt idx="96">
                  <c:v>358967.14012981602</c:v>
                </c:pt>
                <c:pt idx="97">
                  <c:v>359330.76639152499</c:v>
                </c:pt>
                <c:pt idx="98">
                  <c:v>359694.39265323302</c:v>
                </c:pt>
                <c:pt idx="99">
                  <c:v>360058.018914941</c:v>
                </c:pt>
              </c:numCache>
            </c:numRef>
          </c:xVal>
          <c:yVal>
            <c:numRef>
              <c:f>Sheet1!$AO$2:$AO$101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7F-43D0-B94F-5D2966A1E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3830"/>
        <c:axId val="52765621"/>
      </c:scatterChart>
      <c:valAx>
        <c:axId val="184638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900" b="0" strike="noStrike" spc="-1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lang="fr-FR" sz="900" b="0" strike="noStrike" spc="-1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t (en secondes)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CCCCC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endParaRPr lang="fr-FR"/>
          </a:p>
        </c:txPr>
        <c:crossAx val="52765621"/>
        <c:crosses val="autoZero"/>
        <c:crossBetween val="midCat"/>
      </c:valAx>
      <c:valAx>
        <c:axId val="527656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lang="fr-FR" sz="900" b="0" strike="noStrike" spc="-1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U ( en volt)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endParaRPr lang="fr-FR"/>
          </a:p>
        </c:txPr>
        <c:crossAx val="18463830"/>
        <c:crosses val="autoZero"/>
        <c:crossBetween val="midCat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lang="fr-FR" sz="1300" b="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f(Q)=U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264376915802818E-2"/>
          <c:y val="6.5259300816903829E-2"/>
          <c:w val="0.88363928949538351"/>
          <c:h val="0.86599999999999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Sheet1!$K$1:$K$1</c:f>
              <c:strCache>
                <c:ptCount val="1"/>
                <c:pt idx="0">
                  <c:v>t C2 (h)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Sheet1!$D$2:$D$101</c:f>
              <c:numCache>
                <c:formatCode>General</c:formatCode>
                <c:ptCount val="100"/>
                <c:pt idx="0">
                  <c:v>5.6295741524533616E-3</c:v>
                </c:pt>
                <c:pt idx="1">
                  <c:v>0.1066368690713964</c:v>
                </c:pt>
                <c:pt idx="2">
                  <c:v>0.20764416399033919</c:v>
                </c:pt>
                <c:pt idx="3">
                  <c:v>0.3086514589092833</c:v>
                </c:pt>
                <c:pt idx="4">
                  <c:v>0.40965875382822503</c:v>
                </c:pt>
                <c:pt idx="5">
                  <c:v>0.51066604874716948</c:v>
                </c:pt>
                <c:pt idx="6">
                  <c:v>0.61167334366611104</c:v>
                </c:pt>
                <c:pt idx="7">
                  <c:v>0.71268063858505282</c:v>
                </c:pt>
                <c:pt idx="8">
                  <c:v>0.81368793350399715</c:v>
                </c:pt>
                <c:pt idx="9">
                  <c:v>0.91469522842293893</c:v>
                </c:pt>
                <c:pt idx="10">
                  <c:v>1.0157025233418833</c:v>
                </c:pt>
                <c:pt idx="11">
                  <c:v>1.116709818260825</c:v>
                </c:pt>
                <c:pt idx="12">
                  <c:v>1.2177171131797695</c:v>
                </c:pt>
                <c:pt idx="13">
                  <c:v>1.3187244080987111</c:v>
                </c:pt>
                <c:pt idx="14">
                  <c:v>1.4197317030176555</c:v>
                </c:pt>
                <c:pt idx="15">
                  <c:v>1.5207389979365973</c:v>
                </c:pt>
                <c:pt idx="16">
                  <c:v>1.6217462928555417</c:v>
                </c:pt>
                <c:pt idx="17">
                  <c:v>1.7227535877744835</c:v>
                </c:pt>
                <c:pt idx="18">
                  <c:v>1.8237608826934277</c:v>
                </c:pt>
                <c:pt idx="19">
                  <c:v>1.9247681776123695</c:v>
                </c:pt>
                <c:pt idx="20">
                  <c:v>2.025775472531314</c:v>
                </c:pt>
                <c:pt idx="21">
                  <c:v>2.1267827674502557</c:v>
                </c:pt>
                <c:pt idx="22">
                  <c:v>2.2277900623691971</c:v>
                </c:pt>
                <c:pt idx="23">
                  <c:v>2.3287973572881415</c:v>
                </c:pt>
                <c:pt idx="24">
                  <c:v>2.4298046522070833</c:v>
                </c:pt>
                <c:pt idx="25">
                  <c:v>2.5308119471260277</c:v>
                </c:pt>
                <c:pt idx="26">
                  <c:v>2.6318192420449695</c:v>
                </c:pt>
                <c:pt idx="27">
                  <c:v>2.732826536963914</c:v>
                </c:pt>
                <c:pt idx="28">
                  <c:v>2.8338338318828611</c:v>
                </c:pt>
                <c:pt idx="29">
                  <c:v>2.9348411268018055</c:v>
                </c:pt>
                <c:pt idx="30">
                  <c:v>3.03584842172075</c:v>
                </c:pt>
                <c:pt idx="31">
                  <c:v>3.1368557166396944</c:v>
                </c:pt>
                <c:pt idx="32">
                  <c:v>3.2378630115586389</c:v>
                </c:pt>
                <c:pt idx="33">
                  <c:v>3.3388703064775833</c:v>
                </c:pt>
                <c:pt idx="34">
                  <c:v>3.4398776013965278</c:v>
                </c:pt>
                <c:pt idx="35">
                  <c:v>3.5408848963154442</c:v>
                </c:pt>
                <c:pt idx="36">
                  <c:v>3.6418921912343891</c:v>
                </c:pt>
                <c:pt idx="37">
                  <c:v>3.7428994861533336</c:v>
                </c:pt>
                <c:pt idx="38">
                  <c:v>3.8439067810722776</c:v>
                </c:pt>
                <c:pt idx="39">
                  <c:v>3.9449140759912225</c:v>
                </c:pt>
                <c:pt idx="40">
                  <c:v>4.0459213709101665</c:v>
                </c:pt>
                <c:pt idx="41">
                  <c:v>4.1469286658291109</c:v>
                </c:pt>
                <c:pt idx="42">
                  <c:v>4.2479359607480554</c:v>
                </c:pt>
                <c:pt idx="43">
                  <c:v>4.3489432556669998</c:v>
                </c:pt>
                <c:pt idx="44">
                  <c:v>4.4499505505859442</c:v>
                </c:pt>
                <c:pt idx="45">
                  <c:v>4.5509578455048887</c:v>
                </c:pt>
                <c:pt idx="46">
                  <c:v>4.651965140423834</c:v>
                </c:pt>
                <c:pt idx="47">
                  <c:v>4.7529724353427776</c:v>
                </c:pt>
                <c:pt idx="48">
                  <c:v>4.853979730261722</c:v>
                </c:pt>
                <c:pt idx="49">
                  <c:v>4.9549870251806665</c:v>
                </c:pt>
                <c:pt idx="50">
                  <c:v>5.0559943200996109</c:v>
                </c:pt>
                <c:pt idx="51">
                  <c:v>5.1570016150185563</c:v>
                </c:pt>
                <c:pt idx="52">
                  <c:v>5.2580089099374998</c:v>
                </c:pt>
                <c:pt idx="53">
                  <c:v>5.3590162048564443</c:v>
                </c:pt>
                <c:pt idx="54">
                  <c:v>5.4600234997753612</c:v>
                </c:pt>
                <c:pt idx="55">
                  <c:v>5.5610307946943056</c:v>
                </c:pt>
                <c:pt idx="56">
                  <c:v>5.6620380896132501</c:v>
                </c:pt>
                <c:pt idx="57">
                  <c:v>5.7630453845321945</c:v>
                </c:pt>
                <c:pt idx="58">
                  <c:v>5.8640526794511381</c:v>
                </c:pt>
                <c:pt idx="59">
                  <c:v>5.9650599743700834</c:v>
                </c:pt>
                <c:pt idx="60">
                  <c:v>6.0660672692890278</c:v>
                </c:pt>
                <c:pt idx="61">
                  <c:v>6.1670745642079723</c:v>
                </c:pt>
                <c:pt idx="62">
                  <c:v>6.2680818591269167</c:v>
                </c:pt>
                <c:pt idx="63">
                  <c:v>6.3690891540458603</c:v>
                </c:pt>
                <c:pt idx="64">
                  <c:v>6.4700964489648056</c:v>
                </c:pt>
                <c:pt idx="65">
                  <c:v>6.5711037438837501</c:v>
                </c:pt>
                <c:pt idx="66">
                  <c:v>6.6721110388026945</c:v>
                </c:pt>
                <c:pt idx="67">
                  <c:v>6.773118333721639</c:v>
                </c:pt>
                <c:pt idx="68">
                  <c:v>6.8741256286405834</c:v>
                </c:pt>
                <c:pt idx="69">
                  <c:v>6.9751329235595279</c:v>
                </c:pt>
                <c:pt idx="70">
                  <c:v>7.0761402184784723</c:v>
                </c:pt>
                <c:pt idx="71">
                  <c:v>7.1771475133974167</c:v>
                </c:pt>
                <c:pt idx="72">
                  <c:v>7.2781548083163612</c:v>
                </c:pt>
                <c:pt idx="73">
                  <c:v>7.3791621032352781</c:v>
                </c:pt>
                <c:pt idx="74">
                  <c:v>7.4801693981542225</c:v>
                </c:pt>
                <c:pt idx="75">
                  <c:v>7.5811766930731661</c:v>
                </c:pt>
                <c:pt idx="76">
                  <c:v>7.6821839879921106</c:v>
                </c:pt>
                <c:pt idx="77">
                  <c:v>7.7831912829110559</c:v>
                </c:pt>
                <c:pt idx="78">
                  <c:v>7.8841985778300003</c:v>
                </c:pt>
                <c:pt idx="79">
                  <c:v>7.9852058727489448</c:v>
                </c:pt>
                <c:pt idx="80">
                  <c:v>8.0862131676678892</c:v>
                </c:pt>
                <c:pt idx="81">
                  <c:v>8.1872204625868328</c:v>
                </c:pt>
                <c:pt idx="82">
                  <c:v>8.2882277575057781</c:v>
                </c:pt>
                <c:pt idx="83">
                  <c:v>8.3892350524247217</c:v>
                </c:pt>
                <c:pt idx="84">
                  <c:v>8.490242347343667</c:v>
                </c:pt>
                <c:pt idx="85">
                  <c:v>8.5912496422626106</c:v>
                </c:pt>
                <c:pt idx="86">
                  <c:v>8.6922569371815559</c:v>
                </c:pt>
                <c:pt idx="87">
                  <c:v>8.7932642321004995</c:v>
                </c:pt>
                <c:pt idx="88">
                  <c:v>8.8942715270194448</c:v>
                </c:pt>
                <c:pt idx="89">
                  <c:v>8.9952788219383883</c:v>
                </c:pt>
                <c:pt idx="90">
                  <c:v>9.0962861168573337</c:v>
                </c:pt>
                <c:pt idx="91">
                  <c:v>9.1972934117762488</c:v>
                </c:pt>
                <c:pt idx="92">
                  <c:v>9.2983007066951942</c:v>
                </c:pt>
                <c:pt idx="93">
                  <c:v>9.3993080016141395</c:v>
                </c:pt>
                <c:pt idx="94">
                  <c:v>9.500315296533083</c:v>
                </c:pt>
                <c:pt idx="95">
                  <c:v>9.6013225914520284</c:v>
                </c:pt>
                <c:pt idx="96">
                  <c:v>9.7023298863709719</c:v>
                </c:pt>
                <c:pt idx="97">
                  <c:v>9.8033371812899173</c:v>
                </c:pt>
                <c:pt idx="98">
                  <c:v>9.9043444762088626</c:v>
                </c:pt>
                <c:pt idx="99">
                  <c:v>10.005351771127806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C-4A16-9FDF-5B2593DC6C24}"/>
            </c:ext>
          </c:extLst>
        </c:ser>
        <c:ser>
          <c:idx val="1"/>
          <c:order val="1"/>
          <c:spPr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Sheet1!$G$2:$G$101</c:f>
              <c:numCache>
                <c:formatCode>General</c:formatCode>
                <c:ptCount val="100"/>
                <c:pt idx="0">
                  <c:v>2.2772894681111211E-12</c:v>
                </c:pt>
                <c:pt idx="1">
                  <c:v>0.10100729492122085</c:v>
                </c:pt>
                <c:pt idx="2">
                  <c:v>0.20201458984016618</c:v>
                </c:pt>
                <c:pt idx="3">
                  <c:v>0.30302188475911151</c:v>
                </c:pt>
                <c:pt idx="4">
                  <c:v>0.40402917967805507</c:v>
                </c:pt>
                <c:pt idx="5">
                  <c:v>0.50503647459700041</c:v>
                </c:pt>
                <c:pt idx="6">
                  <c:v>0.60604376951594396</c:v>
                </c:pt>
                <c:pt idx="7">
                  <c:v>0.7070510644348893</c:v>
                </c:pt>
                <c:pt idx="8">
                  <c:v>0.80805835935383463</c:v>
                </c:pt>
                <c:pt idx="9">
                  <c:v>0.90906565427277641</c:v>
                </c:pt>
                <c:pt idx="10">
                  <c:v>1.0100729491917217</c:v>
                </c:pt>
                <c:pt idx="11">
                  <c:v>1.1110802441106387</c:v>
                </c:pt>
                <c:pt idx="12">
                  <c:v>1.2120875390295822</c:v>
                </c:pt>
                <c:pt idx="13">
                  <c:v>1.3130948339485276</c:v>
                </c:pt>
                <c:pt idx="14">
                  <c:v>1.4141021288674711</c:v>
                </c:pt>
                <c:pt idx="15">
                  <c:v>1.5151094237864164</c:v>
                </c:pt>
                <c:pt idx="16">
                  <c:v>1.6161167187053618</c:v>
                </c:pt>
                <c:pt idx="17">
                  <c:v>1.7171240136243053</c:v>
                </c:pt>
                <c:pt idx="18">
                  <c:v>1.8181313085432507</c:v>
                </c:pt>
                <c:pt idx="19">
                  <c:v>1.9191386034621924</c:v>
                </c:pt>
                <c:pt idx="20">
                  <c:v>2.0201458983811378</c:v>
                </c:pt>
                <c:pt idx="21">
                  <c:v>2.1211531933000831</c:v>
                </c:pt>
                <c:pt idx="22">
                  <c:v>2.2221604882190267</c:v>
                </c:pt>
                <c:pt idx="23">
                  <c:v>2.323167783137972</c:v>
                </c:pt>
                <c:pt idx="24">
                  <c:v>2.4241750780569156</c:v>
                </c:pt>
                <c:pt idx="25">
                  <c:v>2.5251823729758609</c:v>
                </c:pt>
                <c:pt idx="26">
                  <c:v>2.6261896678948062</c:v>
                </c:pt>
                <c:pt idx="27">
                  <c:v>2.7271969628137498</c:v>
                </c:pt>
                <c:pt idx="28">
                  <c:v>2.8282042577326951</c:v>
                </c:pt>
                <c:pt idx="29">
                  <c:v>2.9292115526516387</c:v>
                </c:pt>
                <c:pt idx="30">
                  <c:v>3.0302188475705822</c:v>
                </c:pt>
                <c:pt idx="31">
                  <c:v>3.1312261424894992</c:v>
                </c:pt>
                <c:pt idx="32">
                  <c:v>3.2322334374084427</c:v>
                </c:pt>
                <c:pt idx="33">
                  <c:v>3.333240732327388</c:v>
                </c:pt>
                <c:pt idx="34">
                  <c:v>3.4342480272463334</c:v>
                </c:pt>
                <c:pt idx="35">
                  <c:v>3.5352553221652769</c:v>
                </c:pt>
                <c:pt idx="36">
                  <c:v>3.6362626170842223</c:v>
                </c:pt>
                <c:pt idx="37">
                  <c:v>3.7372699120031658</c:v>
                </c:pt>
                <c:pt idx="38">
                  <c:v>3.8382772069221112</c:v>
                </c:pt>
                <c:pt idx="39">
                  <c:v>3.9392845018410565</c:v>
                </c:pt>
                <c:pt idx="40">
                  <c:v>4.0402917967600001</c:v>
                </c:pt>
                <c:pt idx="41">
                  <c:v>4.1412990916789454</c:v>
                </c:pt>
                <c:pt idx="42">
                  <c:v>4.2423063865978872</c:v>
                </c:pt>
                <c:pt idx="43">
                  <c:v>4.3433136815168325</c:v>
                </c:pt>
                <c:pt idx="44">
                  <c:v>4.4443209764357778</c:v>
                </c:pt>
                <c:pt idx="45">
                  <c:v>4.5453282713547214</c:v>
                </c:pt>
                <c:pt idx="46">
                  <c:v>4.6463355662736667</c:v>
                </c:pt>
                <c:pt idx="47">
                  <c:v>4.7473428611926103</c:v>
                </c:pt>
                <c:pt idx="48">
                  <c:v>4.8483501561115556</c:v>
                </c:pt>
                <c:pt idx="49">
                  <c:v>4.949357451030501</c:v>
                </c:pt>
                <c:pt idx="50">
                  <c:v>5.0503647459494445</c:v>
                </c:pt>
                <c:pt idx="51">
                  <c:v>5.1513720408683614</c:v>
                </c:pt>
                <c:pt idx="52">
                  <c:v>5.2523793357873068</c:v>
                </c:pt>
                <c:pt idx="53">
                  <c:v>5.3533866307062485</c:v>
                </c:pt>
                <c:pt idx="54">
                  <c:v>5.4543939256251939</c:v>
                </c:pt>
                <c:pt idx="55">
                  <c:v>5.5554012205441374</c:v>
                </c:pt>
                <c:pt idx="56">
                  <c:v>5.6564085154630828</c:v>
                </c:pt>
                <c:pt idx="57">
                  <c:v>5.7574158103820281</c:v>
                </c:pt>
                <c:pt idx="58">
                  <c:v>5.8584231053009717</c:v>
                </c:pt>
                <c:pt idx="59">
                  <c:v>5.959430400219917</c:v>
                </c:pt>
                <c:pt idx="60">
                  <c:v>6.0604376951388588</c:v>
                </c:pt>
                <c:pt idx="61">
                  <c:v>6.1614449900578059</c:v>
                </c:pt>
                <c:pt idx="62">
                  <c:v>6.2624522849767494</c:v>
                </c:pt>
                <c:pt idx="63">
                  <c:v>6.363459579895693</c:v>
                </c:pt>
                <c:pt idx="64">
                  <c:v>6.4644668748146401</c:v>
                </c:pt>
                <c:pt idx="65">
                  <c:v>6.5654741697335837</c:v>
                </c:pt>
                <c:pt idx="66">
                  <c:v>6.6664814646525272</c:v>
                </c:pt>
                <c:pt idx="67">
                  <c:v>6.7674887595714708</c:v>
                </c:pt>
                <c:pt idx="68">
                  <c:v>6.8684960544904179</c:v>
                </c:pt>
                <c:pt idx="69">
                  <c:v>6.9695033494093614</c:v>
                </c:pt>
                <c:pt idx="70">
                  <c:v>7.070510644328305</c:v>
                </c:pt>
                <c:pt idx="71">
                  <c:v>7.1715179392472201</c:v>
                </c:pt>
                <c:pt idx="72">
                  <c:v>7.2725252341661673</c:v>
                </c:pt>
                <c:pt idx="73">
                  <c:v>7.3735325290851108</c:v>
                </c:pt>
                <c:pt idx="74">
                  <c:v>7.4745398240040544</c:v>
                </c:pt>
                <c:pt idx="75">
                  <c:v>7.5755471189230015</c:v>
                </c:pt>
                <c:pt idx="76">
                  <c:v>7.676554413841945</c:v>
                </c:pt>
                <c:pt idx="77">
                  <c:v>7.7775617087608886</c:v>
                </c:pt>
                <c:pt idx="78">
                  <c:v>7.8785690036798322</c:v>
                </c:pt>
                <c:pt idx="79">
                  <c:v>7.9795762985987793</c:v>
                </c:pt>
                <c:pt idx="80">
                  <c:v>8.0805835935177193</c:v>
                </c:pt>
                <c:pt idx="81">
                  <c:v>8.1815908884366664</c:v>
                </c:pt>
                <c:pt idx="82">
                  <c:v>8.2825981833556099</c:v>
                </c:pt>
                <c:pt idx="83">
                  <c:v>8.383605478274557</c:v>
                </c:pt>
                <c:pt idx="84">
                  <c:v>8.4846127731935006</c:v>
                </c:pt>
                <c:pt idx="85">
                  <c:v>8.5856200681124442</c:v>
                </c:pt>
                <c:pt idx="86">
                  <c:v>8.6866273630313913</c:v>
                </c:pt>
                <c:pt idx="87">
                  <c:v>8.7876346579503348</c:v>
                </c:pt>
                <c:pt idx="88">
                  <c:v>8.8886419528692784</c:v>
                </c:pt>
                <c:pt idx="89">
                  <c:v>8.9896492477882219</c:v>
                </c:pt>
                <c:pt idx="90">
                  <c:v>9.0906565427071691</c:v>
                </c:pt>
                <c:pt idx="91">
                  <c:v>9.1916638376260842</c:v>
                </c:pt>
                <c:pt idx="92">
                  <c:v>9.2926711325450242</c:v>
                </c:pt>
                <c:pt idx="93">
                  <c:v>9.3936784274639713</c:v>
                </c:pt>
                <c:pt idx="94">
                  <c:v>9.4946857223829149</c:v>
                </c:pt>
                <c:pt idx="95">
                  <c:v>9.5956930173018584</c:v>
                </c:pt>
                <c:pt idx="96">
                  <c:v>9.6967003122208055</c:v>
                </c:pt>
                <c:pt idx="97">
                  <c:v>9.7977076071397491</c:v>
                </c:pt>
                <c:pt idx="98">
                  <c:v>9.8987149020586926</c:v>
                </c:pt>
                <c:pt idx="99">
                  <c:v>9.9997221969776398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C-4A16-9FDF-5B2593DC6C24}"/>
            </c:ext>
          </c:extLst>
        </c:ser>
        <c:ser>
          <c:idx val="2"/>
          <c:order val="2"/>
          <c:spPr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Sheet1!$K$2:$K$101</c:f>
              <c:numCache>
                <c:formatCode>General</c:formatCode>
                <c:ptCount val="100"/>
                <c:pt idx="0">
                  <c:v>1.7863044377008919E-11</c:v>
                </c:pt>
                <c:pt idx="1">
                  <c:v>0.1010072949368066</c:v>
                </c:pt>
                <c:pt idx="2">
                  <c:v>0.20201458985575016</c:v>
                </c:pt>
                <c:pt idx="3">
                  <c:v>0.30302188477469727</c:v>
                </c:pt>
                <c:pt idx="4">
                  <c:v>0.40402917969364083</c:v>
                </c:pt>
                <c:pt idx="5">
                  <c:v>0.50503647461258083</c:v>
                </c:pt>
                <c:pt idx="6">
                  <c:v>0.60604376953152439</c:v>
                </c:pt>
                <c:pt idx="7">
                  <c:v>0.7070510644504715</c:v>
                </c:pt>
                <c:pt idx="8">
                  <c:v>0.80805835936941506</c:v>
                </c:pt>
                <c:pt idx="9">
                  <c:v>0.90906565428835862</c:v>
                </c:pt>
                <c:pt idx="10">
                  <c:v>1.0100729492073057</c:v>
                </c:pt>
                <c:pt idx="11">
                  <c:v>1.1110802441262493</c:v>
                </c:pt>
                <c:pt idx="12">
                  <c:v>1.2120875390451928</c:v>
                </c:pt>
                <c:pt idx="13">
                  <c:v>1.3130948339641364</c:v>
                </c:pt>
                <c:pt idx="14">
                  <c:v>1.4141021288830835</c:v>
                </c:pt>
                <c:pt idx="15">
                  <c:v>1.5151094238020271</c:v>
                </c:pt>
                <c:pt idx="16">
                  <c:v>1.6161167187209706</c:v>
                </c:pt>
                <c:pt idx="17">
                  <c:v>1.7171240136399177</c:v>
                </c:pt>
                <c:pt idx="18">
                  <c:v>1.8181313085588613</c:v>
                </c:pt>
                <c:pt idx="19">
                  <c:v>1.9191386034778048</c:v>
                </c:pt>
                <c:pt idx="20">
                  <c:v>2.020145898396752</c:v>
                </c:pt>
                <c:pt idx="21">
                  <c:v>2.1211531933156955</c:v>
                </c:pt>
                <c:pt idx="22">
                  <c:v>2.2221604882346391</c:v>
                </c:pt>
                <c:pt idx="23">
                  <c:v>2.3231677831535826</c:v>
                </c:pt>
                <c:pt idx="24">
                  <c:v>2.4241750780725297</c:v>
                </c:pt>
                <c:pt idx="25">
                  <c:v>2.5251823729914697</c:v>
                </c:pt>
                <c:pt idx="26">
                  <c:v>2.6261896679104133</c:v>
                </c:pt>
                <c:pt idx="27">
                  <c:v>2.7271969628293604</c:v>
                </c:pt>
                <c:pt idx="28">
                  <c:v>2.828204257748304</c:v>
                </c:pt>
                <c:pt idx="29">
                  <c:v>2.9292115526672475</c:v>
                </c:pt>
                <c:pt idx="30">
                  <c:v>3.0302188475861946</c:v>
                </c:pt>
                <c:pt idx="31">
                  <c:v>3.1312261425051382</c:v>
                </c:pt>
                <c:pt idx="32">
                  <c:v>3.2322334374240818</c:v>
                </c:pt>
                <c:pt idx="33">
                  <c:v>3.3332407323430253</c:v>
                </c:pt>
                <c:pt idx="34">
                  <c:v>3.4342480272619724</c:v>
                </c:pt>
                <c:pt idx="35">
                  <c:v>3.535255322180916</c:v>
                </c:pt>
                <c:pt idx="36">
                  <c:v>3.6362626170998595</c:v>
                </c:pt>
                <c:pt idx="37">
                  <c:v>3.7372699120188067</c:v>
                </c:pt>
                <c:pt idx="38">
                  <c:v>3.8382772069377502</c:v>
                </c:pt>
                <c:pt idx="39">
                  <c:v>3.9392845018566938</c:v>
                </c:pt>
                <c:pt idx="40">
                  <c:v>4.0402917967756409</c:v>
                </c:pt>
                <c:pt idx="41">
                  <c:v>4.1412990916945844</c:v>
                </c:pt>
                <c:pt idx="42">
                  <c:v>4.242306386613528</c:v>
                </c:pt>
                <c:pt idx="43">
                  <c:v>4.3433136815324715</c:v>
                </c:pt>
                <c:pt idx="44">
                  <c:v>4.4443209764514187</c:v>
                </c:pt>
                <c:pt idx="45">
                  <c:v>4.5453282713703622</c:v>
                </c:pt>
                <c:pt idx="46">
                  <c:v>4.6463355662893022</c:v>
                </c:pt>
                <c:pt idx="47">
                  <c:v>4.7473428612082529</c:v>
                </c:pt>
                <c:pt idx="48">
                  <c:v>4.8483501561271929</c:v>
                </c:pt>
                <c:pt idx="49">
                  <c:v>4.9493574510461364</c:v>
                </c:pt>
                <c:pt idx="50">
                  <c:v>5.0503647459650836</c:v>
                </c:pt>
                <c:pt idx="51">
                  <c:v>5.1513720408839987</c:v>
                </c:pt>
                <c:pt idx="52">
                  <c:v>5.2523793358029707</c:v>
                </c:pt>
                <c:pt idx="53">
                  <c:v>5.3533866307219142</c:v>
                </c:pt>
                <c:pt idx="54">
                  <c:v>5.4543939256408613</c:v>
                </c:pt>
                <c:pt idx="55">
                  <c:v>5.5554012205597765</c:v>
                </c:pt>
                <c:pt idx="56">
                  <c:v>5.65640851547872</c:v>
                </c:pt>
                <c:pt idx="57">
                  <c:v>5.7574158103976956</c:v>
                </c:pt>
                <c:pt idx="58">
                  <c:v>5.8584231053166107</c:v>
                </c:pt>
                <c:pt idx="59">
                  <c:v>5.9594304002355543</c:v>
                </c:pt>
                <c:pt idx="60">
                  <c:v>6.0604376951545014</c:v>
                </c:pt>
                <c:pt idx="61">
                  <c:v>6.1614449900734449</c:v>
                </c:pt>
                <c:pt idx="62">
                  <c:v>6.2624522849923885</c:v>
                </c:pt>
                <c:pt idx="63">
                  <c:v>6.3634595799113356</c:v>
                </c:pt>
                <c:pt idx="64">
                  <c:v>6.4644668748302792</c:v>
                </c:pt>
                <c:pt idx="65">
                  <c:v>6.5654741697492227</c:v>
                </c:pt>
                <c:pt idx="66">
                  <c:v>6.6664814646681663</c:v>
                </c:pt>
                <c:pt idx="67">
                  <c:v>6.7674887595871134</c:v>
                </c:pt>
                <c:pt idx="68">
                  <c:v>6.8684960545060534</c:v>
                </c:pt>
                <c:pt idx="69">
                  <c:v>6.9695033494249969</c:v>
                </c:pt>
                <c:pt idx="70">
                  <c:v>7.0705106443439441</c:v>
                </c:pt>
                <c:pt idx="71">
                  <c:v>7.1715179392628876</c:v>
                </c:pt>
                <c:pt idx="72">
                  <c:v>7.2725252341818312</c:v>
                </c:pt>
                <c:pt idx="73">
                  <c:v>7.3735325291007747</c:v>
                </c:pt>
                <c:pt idx="74">
                  <c:v>7.4745398240197218</c:v>
                </c:pt>
                <c:pt idx="75">
                  <c:v>7.5755471189386654</c:v>
                </c:pt>
                <c:pt idx="76">
                  <c:v>7.6765544138576089</c:v>
                </c:pt>
                <c:pt idx="77">
                  <c:v>7.7775617087766662</c:v>
                </c:pt>
                <c:pt idx="78">
                  <c:v>7.8785690036955565</c:v>
                </c:pt>
                <c:pt idx="79">
                  <c:v>7.9795762986144432</c:v>
                </c:pt>
                <c:pt idx="80">
                  <c:v>8.0805835935333334</c:v>
                </c:pt>
                <c:pt idx="81">
                  <c:v>8.1815908884522202</c:v>
                </c:pt>
                <c:pt idx="82">
                  <c:v>8.2825981833713911</c:v>
                </c:pt>
                <c:pt idx="83">
                  <c:v>8.3836054782902778</c:v>
                </c:pt>
                <c:pt idx="84">
                  <c:v>8.4846127732091681</c:v>
                </c:pt>
                <c:pt idx="85">
                  <c:v>8.5856200681280548</c:v>
                </c:pt>
                <c:pt idx="86">
                  <c:v>8.686627363046945</c:v>
                </c:pt>
                <c:pt idx="87">
                  <c:v>8.7876346579661089</c:v>
                </c:pt>
                <c:pt idx="88">
                  <c:v>8.8886419528849991</c:v>
                </c:pt>
                <c:pt idx="89">
                  <c:v>8.9896492478038859</c:v>
                </c:pt>
                <c:pt idx="90">
                  <c:v>9.0906565427227797</c:v>
                </c:pt>
                <c:pt idx="91">
                  <c:v>9.1916638376416664</c:v>
                </c:pt>
                <c:pt idx="92">
                  <c:v>9.2926711325608338</c:v>
                </c:pt>
                <c:pt idx="93">
                  <c:v>9.3936784274797205</c:v>
                </c:pt>
                <c:pt idx="94">
                  <c:v>9.4946857223986107</c:v>
                </c:pt>
                <c:pt idx="95">
                  <c:v>9.5956930173174975</c:v>
                </c:pt>
                <c:pt idx="96">
                  <c:v>9.6967003122363877</c:v>
                </c:pt>
                <c:pt idx="97">
                  <c:v>9.7977076071555551</c:v>
                </c:pt>
                <c:pt idx="98">
                  <c:v>9.8987149020744454</c:v>
                </c:pt>
                <c:pt idx="99">
                  <c:v>9.9997221969933321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7C-4A16-9FDF-5B2593DC6C24}"/>
            </c:ext>
          </c:extLst>
        </c:ser>
        <c:ser>
          <c:idx val="3"/>
          <c:order val="3"/>
          <c:spPr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Sheet1!$O$2:$O$101</c:f>
              <c:numCache>
                <c:formatCode>General</c:formatCode>
                <c:ptCount val="100"/>
                <c:pt idx="0">
                  <c:v>-9.9973362921446096E-12</c:v>
                </c:pt>
                <c:pt idx="1">
                  <c:v>0.10100729490888938</c:v>
                </c:pt>
                <c:pt idx="2">
                  <c:v>0.20201458982777964</c:v>
                </c:pt>
                <c:pt idx="3">
                  <c:v>0.30302188474694347</c:v>
                </c:pt>
                <c:pt idx="4">
                  <c:v>0.40402917966583729</c:v>
                </c:pt>
                <c:pt idx="5">
                  <c:v>0.505036474584724</c:v>
                </c:pt>
                <c:pt idx="6">
                  <c:v>0.60604376950361427</c:v>
                </c:pt>
                <c:pt idx="7">
                  <c:v>0.70705106442250099</c:v>
                </c:pt>
                <c:pt idx="8">
                  <c:v>0.80805835934166836</c:v>
                </c:pt>
                <c:pt idx="9">
                  <c:v>0.90906565426055508</c:v>
                </c:pt>
                <c:pt idx="10">
                  <c:v>1.0100729491794453</c:v>
                </c:pt>
                <c:pt idx="11">
                  <c:v>1.1110802440983321</c:v>
                </c:pt>
                <c:pt idx="12">
                  <c:v>1.2120875390172223</c:v>
                </c:pt>
                <c:pt idx="13">
                  <c:v>1.3130948339363897</c:v>
                </c:pt>
                <c:pt idx="14">
                  <c:v>1.41410212885528</c:v>
                </c:pt>
                <c:pt idx="15">
                  <c:v>1.5151094237741667</c:v>
                </c:pt>
                <c:pt idx="16">
                  <c:v>1.616116718693057</c:v>
                </c:pt>
                <c:pt idx="17">
                  <c:v>1.7171240136119437</c:v>
                </c:pt>
                <c:pt idx="18">
                  <c:v>1.8181313085311146</c:v>
                </c:pt>
                <c:pt idx="19">
                  <c:v>1.9191386034500013</c:v>
                </c:pt>
                <c:pt idx="20">
                  <c:v>2.0201458983688916</c:v>
                </c:pt>
                <c:pt idx="21">
                  <c:v>2.1211531932877783</c:v>
                </c:pt>
                <c:pt idx="22">
                  <c:v>2.2221604882066721</c:v>
                </c:pt>
                <c:pt idx="23">
                  <c:v>2.3231677831258359</c:v>
                </c:pt>
                <c:pt idx="24">
                  <c:v>2.4241750780447227</c:v>
                </c:pt>
                <c:pt idx="25">
                  <c:v>2.5251823729636094</c:v>
                </c:pt>
                <c:pt idx="26">
                  <c:v>2.6261896678825032</c:v>
                </c:pt>
                <c:pt idx="27">
                  <c:v>2.7271969628013899</c:v>
                </c:pt>
                <c:pt idx="28">
                  <c:v>2.8282042577205608</c:v>
                </c:pt>
                <c:pt idx="29">
                  <c:v>2.9292115526394475</c:v>
                </c:pt>
                <c:pt idx="30">
                  <c:v>3.0302188475583343</c:v>
                </c:pt>
                <c:pt idx="31">
                  <c:v>3.131226142477221</c:v>
                </c:pt>
                <c:pt idx="32">
                  <c:v>3.2322334373961148</c:v>
                </c:pt>
                <c:pt idx="33">
                  <c:v>3.3332407323152786</c:v>
                </c:pt>
                <c:pt idx="34">
                  <c:v>3.4342480272341724</c:v>
                </c:pt>
                <c:pt idx="35">
                  <c:v>3.5352553221530592</c:v>
                </c:pt>
                <c:pt idx="36">
                  <c:v>3.6362626170719459</c:v>
                </c:pt>
                <c:pt idx="37">
                  <c:v>3.7372699119908326</c:v>
                </c:pt>
                <c:pt idx="38">
                  <c:v>3.8382772069100035</c:v>
                </c:pt>
                <c:pt idx="39">
                  <c:v>3.9392845018288902</c:v>
                </c:pt>
                <c:pt idx="40">
                  <c:v>4.0402917967477769</c:v>
                </c:pt>
                <c:pt idx="41">
                  <c:v>4.1412990916666637</c:v>
                </c:pt>
                <c:pt idx="42">
                  <c:v>4.2423063865855575</c:v>
                </c:pt>
                <c:pt idx="43">
                  <c:v>4.3433136815047213</c:v>
                </c:pt>
                <c:pt idx="44">
                  <c:v>4.4443209764236151</c:v>
                </c:pt>
                <c:pt idx="45">
                  <c:v>4.5453282713425018</c:v>
                </c:pt>
                <c:pt idx="46">
                  <c:v>4.6463355662613885</c:v>
                </c:pt>
                <c:pt idx="47">
                  <c:v>4.7473428611802753</c:v>
                </c:pt>
                <c:pt idx="48">
                  <c:v>4.8483501560994462</c:v>
                </c:pt>
                <c:pt idx="49">
                  <c:v>4.9493574510183329</c:v>
                </c:pt>
                <c:pt idx="50">
                  <c:v>5.0503647459372267</c:v>
                </c:pt>
                <c:pt idx="51">
                  <c:v>5.1513720408561134</c:v>
                </c:pt>
                <c:pt idx="52">
                  <c:v>5.2523793357752773</c:v>
                </c:pt>
                <c:pt idx="53">
                  <c:v>5.3533866306941711</c:v>
                </c:pt>
                <c:pt idx="54">
                  <c:v>5.4543939256130578</c:v>
                </c:pt>
                <c:pt idx="55">
                  <c:v>5.5554012205319445</c:v>
                </c:pt>
                <c:pt idx="56">
                  <c:v>5.6564085154508383</c:v>
                </c:pt>
                <c:pt idx="57">
                  <c:v>5.7574158103700022</c:v>
                </c:pt>
                <c:pt idx="58">
                  <c:v>5.8584231052888889</c:v>
                </c:pt>
                <c:pt idx="59">
                  <c:v>5.9594304002077756</c:v>
                </c:pt>
                <c:pt idx="60">
                  <c:v>6.0604376951266694</c:v>
                </c:pt>
                <c:pt idx="61">
                  <c:v>6.1614449900455561</c:v>
                </c:pt>
                <c:pt idx="62">
                  <c:v>6.26245228496472</c:v>
                </c:pt>
                <c:pt idx="63">
                  <c:v>6.3634595798836138</c:v>
                </c:pt>
                <c:pt idx="64">
                  <c:v>6.4644668748025005</c:v>
                </c:pt>
                <c:pt idx="65">
                  <c:v>6.5654741697213943</c:v>
                </c:pt>
                <c:pt idx="66">
                  <c:v>6.6664814646402739</c:v>
                </c:pt>
                <c:pt idx="67">
                  <c:v>6.7674887595594448</c:v>
                </c:pt>
                <c:pt idx="68">
                  <c:v>6.8684960544783316</c:v>
                </c:pt>
                <c:pt idx="69">
                  <c:v>6.9695033493972254</c:v>
                </c:pt>
                <c:pt idx="70">
                  <c:v>7.0705106443161121</c:v>
                </c:pt>
                <c:pt idx="71">
                  <c:v>7.1715179392350059</c:v>
                </c:pt>
                <c:pt idx="72">
                  <c:v>7.2725252341541697</c:v>
                </c:pt>
                <c:pt idx="73">
                  <c:v>7.3735325290730493</c:v>
                </c:pt>
                <c:pt idx="74">
                  <c:v>7.4745398239919432</c:v>
                </c:pt>
                <c:pt idx="75">
                  <c:v>7.575547118910837</c:v>
                </c:pt>
                <c:pt idx="76">
                  <c:v>7.6765544138297237</c:v>
                </c:pt>
                <c:pt idx="77">
                  <c:v>7.7775617087488875</c:v>
                </c:pt>
                <c:pt idx="78">
                  <c:v>7.8785690036677813</c:v>
                </c:pt>
                <c:pt idx="79">
                  <c:v>7.979576298586661</c:v>
                </c:pt>
                <c:pt idx="80">
                  <c:v>8.0805835935055548</c:v>
                </c:pt>
                <c:pt idx="81">
                  <c:v>8.1815908884244486</c:v>
                </c:pt>
                <c:pt idx="82">
                  <c:v>8.2825981833436124</c:v>
                </c:pt>
                <c:pt idx="83">
                  <c:v>8.3836054782624991</c:v>
                </c:pt>
                <c:pt idx="84">
                  <c:v>8.484612773181393</c:v>
                </c:pt>
                <c:pt idx="85">
                  <c:v>8.5856200681002797</c:v>
                </c:pt>
                <c:pt idx="86">
                  <c:v>8.6866273630191664</c:v>
                </c:pt>
                <c:pt idx="87">
                  <c:v>8.7876346579383302</c:v>
                </c:pt>
                <c:pt idx="88">
                  <c:v>8.888641952857224</c:v>
                </c:pt>
                <c:pt idx="89">
                  <c:v>8.9896492477761107</c:v>
                </c:pt>
                <c:pt idx="90">
                  <c:v>9.0906565426950046</c:v>
                </c:pt>
                <c:pt idx="91">
                  <c:v>9.1916638376138913</c:v>
                </c:pt>
                <c:pt idx="92">
                  <c:v>9.2926711325330622</c:v>
                </c:pt>
                <c:pt idx="93">
                  <c:v>9.3936784274519418</c:v>
                </c:pt>
                <c:pt idx="94">
                  <c:v>9.4946857223708356</c:v>
                </c:pt>
                <c:pt idx="95">
                  <c:v>9.5956930172897223</c:v>
                </c:pt>
                <c:pt idx="96">
                  <c:v>9.6967003122086162</c:v>
                </c:pt>
                <c:pt idx="97">
                  <c:v>9.79770760712778</c:v>
                </c:pt>
                <c:pt idx="98">
                  <c:v>9.8987149020466738</c:v>
                </c:pt>
                <c:pt idx="99">
                  <c:v>9.9997221969655534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7C-4A16-9FDF-5B2593DC6C24}"/>
            </c:ext>
          </c:extLst>
        </c:ser>
        <c:ser>
          <c:idx val="4"/>
          <c:order val="4"/>
          <c:spPr>
            <a:ln w="28800">
              <a:noFill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Sheet1!$S$2:$S$101</c:f>
              <c:numCache>
                <c:formatCode>General</c:formatCode>
                <c:ptCount val="100"/>
                <c:pt idx="0">
                  <c:v>5.5564441936439835E-12</c:v>
                </c:pt>
                <c:pt idx="1">
                  <c:v>0.10100729492444316</c:v>
                </c:pt>
                <c:pt idx="2">
                  <c:v>0.20201458984333698</c:v>
                </c:pt>
                <c:pt idx="3">
                  <c:v>0.3030218847625008</c:v>
                </c:pt>
                <c:pt idx="4">
                  <c:v>0.40402917968139462</c:v>
                </c:pt>
                <c:pt idx="5">
                  <c:v>0.50503647460028134</c:v>
                </c:pt>
                <c:pt idx="6">
                  <c:v>0.60604376951916805</c:v>
                </c:pt>
                <c:pt idx="7">
                  <c:v>0.70705106443805477</c:v>
                </c:pt>
                <c:pt idx="8">
                  <c:v>0.8080583593572257</c:v>
                </c:pt>
                <c:pt idx="9">
                  <c:v>0.90906565427611241</c:v>
                </c:pt>
                <c:pt idx="10">
                  <c:v>1.0100729491950062</c:v>
                </c:pt>
                <c:pt idx="11">
                  <c:v>1.1110802441138929</c:v>
                </c:pt>
                <c:pt idx="12">
                  <c:v>1.2120875390327797</c:v>
                </c:pt>
                <c:pt idx="13">
                  <c:v>1.3130948339519435</c:v>
                </c:pt>
                <c:pt idx="14">
                  <c:v>1.4141021288708302</c:v>
                </c:pt>
                <c:pt idx="15">
                  <c:v>1.515109423789724</c:v>
                </c:pt>
                <c:pt idx="16">
                  <c:v>1.6161167187086178</c:v>
                </c:pt>
                <c:pt idx="17">
                  <c:v>1.7171240136275046</c:v>
                </c:pt>
                <c:pt idx="18">
                  <c:v>1.8181313085463913</c:v>
                </c:pt>
                <c:pt idx="19">
                  <c:v>1.9191386034655551</c:v>
                </c:pt>
                <c:pt idx="20">
                  <c:v>2.0201458983844418</c:v>
                </c:pt>
                <c:pt idx="21">
                  <c:v>2.1211531933033356</c:v>
                </c:pt>
                <c:pt idx="22">
                  <c:v>2.2221604882222223</c:v>
                </c:pt>
                <c:pt idx="23">
                  <c:v>2.3231677831411162</c:v>
                </c:pt>
                <c:pt idx="24">
                  <c:v>2.42417507806028</c:v>
                </c:pt>
                <c:pt idx="25">
                  <c:v>2.5251823729791667</c:v>
                </c:pt>
                <c:pt idx="26">
                  <c:v>2.6261896678980534</c:v>
                </c:pt>
                <c:pt idx="27">
                  <c:v>2.7271969628169472</c:v>
                </c:pt>
                <c:pt idx="28">
                  <c:v>2.8282042577358339</c:v>
                </c:pt>
                <c:pt idx="29">
                  <c:v>2.9292115526550049</c:v>
                </c:pt>
                <c:pt idx="30">
                  <c:v>3.0302188475738916</c:v>
                </c:pt>
                <c:pt idx="31">
                  <c:v>3.1312261424927854</c:v>
                </c:pt>
                <c:pt idx="32">
                  <c:v>3.232233437411665</c:v>
                </c:pt>
                <c:pt idx="33">
                  <c:v>3.3332407323305588</c:v>
                </c:pt>
                <c:pt idx="34">
                  <c:v>3.4342480272497227</c:v>
                </c:pt>
                <c:pt idx="35">
                  <c:v>3.5352553221686165</c:v>
                </c:pt>
                <c:pt idx="36">
                  <c:v>3.6362626170875032</c:v>
                </c:pt>
                <c:pt idx="37">
                  <c:v>3.737269912006397</c:v>
                </c:pt>
                <c:pt idx="38">
                  <c:v>3.8382772069252766</c:v>
                </c:pt>
                <c:pt idx="39">
                  <c:v>3.9392845018444405</c:v>
                </c:pt>
                <c:pt idx="40">
                  <c:v>4.0402917967633343</c:v>
                </c:pt>
                <c:pt idx="41">
                  <c:v>4.141299091682221</c:v>
                </c:pt>
                <c:pt idx="42">
                  <c:v>4.2423063866011148</c:v>
                </c:pt>
                <c:pt idx="43">
                  <c:v>4.3433136815200086</c:v>
                </c:pt>
                <c:pt idx="44">
                  <c:v>4.4443209764388882</c:v>
                </c:pt>
                <c:pt idx="45">
                  <c:v>4.5453282713580521</c:v>
                </c:pt>
                <c:pt idx="46">
                  <c:v>4.6463355662769459</c:v>
                </c:pt>
                <c:pt idx="47">
                  <c:v>4.7473428611958326</c:v>
                </c:pt>
                <c:pt idx="48">
                  <c:v>4.8483501561147264</c:v>
                </c:pt>
                <c:pt idx="49">
                  <c:v>4.9493574510336131</c:v>
                </c:pt>
                <c:pt idx="50">
                  <c:v>5.0503647459527841</c:v>
                </c:pt>
                <c:pt idx="51">
                  <c:v>5.1513720408716637</c:v>
                </c:pt>
                <c:pt idx="52">
                  <c:v>5.2523793357905575</c:v>
                </c:pt>
                <c:pt idx="53">
                  <c:v>5.3533866307094442</c:v>
                </c:pt>
                <c:pt idx="54">
                  <c:v>5.454393925628338</c:v>
                </c:pt>
                <c:pt idx="55">
                  <c:v>5.5554012205475019</c:v>
                </c:pt>
                <c:pt idx="56">
                  <c:v>5.6564085154663957</c:v>
                </c:pt>
                <c:pt idx="57">
                  <c:v>5.7574158103852753</c:v>
                </c:pt>
                <c:pt idx="58">
                  <c:v>5.8584231053041691</c:v>
                </c:pt>
                <c:pt idx="59">
                  <c:v>5.9594304002230558</c:v>
                </c:pt>
                <c:pt idx="60">
                  <c:v>6.0604376951422196</c:v>
                </c:pt>
                <c:pt idx="61">
                  <c:v>6.1614449900611135</c:v>
                </c:pt>
                <c:pt idx="62">
                  <c:v>6.2624522849800073</c:v>
                </c:pt>
                <c:pt idx="63">
                  <c:v>6.363459579898894</c:v>
                </c:pt>
                <c:pt idx="64">
                  <c:v>6.4644668748177807</c:v>
                </c:pt>
                <c:pt idx="65">
                  <c:v>6.5654741697366674</c:v>
                </c:pt>
                <c:pt idx="66">
                  <c:v>6.6664814646558312</c:v>
                </c:pt>
                <c:pt idx="67">
                  <c:v>6.7674887595747251</c:v>
                </c:pt>
                <c:pt idx="68">
                  <c:v>6.8684960544936118</c:v>
                </c:pt>
                <c:pt idx="69">
                  <c:v>6.9695033494125056</c:v>
                </c:pt>
                <c:pt idx="70">
                  <c:v>7.0705106443313852</c:v>
                </c:pt>
                <c:pt idx="71">
                  <c:v>7.1715179392505561</c:v>
                </c:pt>
                <c:pt idx="72">
                  <c:v>7.2725252341694429</c:v>
                </c:pt>
                <c:pt idx="73">
                  <c:v>7.3735325290883367</c:v>
                </c:pt>
                <c:pt idx="74">
                  <c:v>7.4745398240072234</c:v>
                </c:pt>
                <c:pt idx="75">
                  <c:v>7.5755471189261172</c:v>
                </c:pt>
                <c:pt idx="76">
                  <c:v>7.676554413845281</c:v>
                </c:pt>
                <c:pt idx="77">
                  <c:v>7.7775617087641677</c:v>
                </c:pt>
                <c:pt idx="78">
                  <c:v>7.8785690036830545</c:v>
                </c:pt>
                <c:pt idx="79">
                  <c:v>7.9795762986019483</c:v>
                </c:pt>
                <c:pt idx="80">
                  <c:v>8.080583593520835</c:v>
                </c:pt>
                <c:pt idx="81">
                  <c:v>8.1815908884399988</c:v>
                </c:pt>
                <c:pt idx="82">
                  <c:v>8.2825981833588926</c:v>
                </c:pt>
                <c:pt idx="83">
                  <c:v>8.3836054782777722</c:v>
                </c:pt>
                <c:pt idx="84">
                  <c:v>8.4846127731966661</c:v>
                </c:pt>
                <c:pt idx="85">
                  <c:v>8.5856200681155599</c:v>
                </c:pt>
                <c:pt idx="86">
                  <c:v>8.6866273630347237</c:v>
                </c:pt>
                <c:pt idx="87">
                  <c:v>8.7876346579536104</c:v>
                </c:pt>
                <c:pt idx="88">
                  <c:v>8.8886419528725042</c:v>
                </c:pt>
                <c:pt idx="89">
                  <c:v>8.9896492477913981</c:v>
                </c:pt>
                <c:pt idx="90">
                  <c:v>9.0906565427102777</c:v>
                </c:pt>
                <c:pt idx="91">
                  <c:v>9.1916638376291644</c:v>
                </c:pt>
                <c:pt idx="92">
                  <c:v>9.2926711325483353</c:v>
                </c:pt>
                <c:pt idx="93">
                  <c:v>9.393678427467222</c:v>
                </c:pt>
                <c:pt idx="94">
                  <c:v>9.4946857223861159</c:v>
                </c:pt>
                <c:pt idx="95">
                  <c:v>9.5956930173050026</c:v>
                </c:pt>
                <c:pt idx="96">
                  <c:v>9.6967003122238893</c:v>
                </c:pt>
                <c:pt idx="97">
                  <c:v>9.7977076071430531</c:v>
                </c:pt>
                <c:pt idx="98">
                  <c:v>9.8987149020619469</c:v>
                </c:pt>
                <c:pt idx="99">
                  <c:v>9.9997221969808336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7C-4A16-9FDF-5B2593DC6C24}"/>
            </c:ext>
          </c:extLst>
        </c:ser>
        <c:ser>
          <c:idx val="5"/>
          <c:order val="5"/>
          <c:spPr>
            <a:ln w="28800">
              <a:noFill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3.33315597345063E-11</c:v>
                </c:pt>
                <c:pt idx="1">
                  <c:v>0.10100729495221827</c:v>
                </c:pt>
                <c:pt idx="2">
                  <c:v>0.20201458987110499</c:v>
                </c:pt>
                <c:pt idx="3">
                  <c:v>0.30302188479027592</c:v>
                </c:pt>
                <c:pt idx="4">
                  <c:v>0.40402917970916263</c:v>
                </c:pt>
                <c:pt idx="5">
                  <c:v>0.50503647462805645</c:v>
                </c:pt>
                <c:pt idx="6">
                  <c:v>0.60604376954694317</c:v>
                </c:pt>
                <c:pt idx="7">
                  <c:v>0.70705106446582988</c:v>
                </c:pt>
                <c:pt idx="8">
                  <c:v>0.80805835938499371</c:v>
                </c:pt>
                <c:pt idx="9">
                  <c:v>0.90906565430388753</c:v>
                </c:pt>
                <c:pt idx="10">
                  <c:v>1.0100729492227742</c:v>
                </c:pt>
                <c:pt idx="11">
                  <c:v>1.1110802441416681</c:v>
                </c:pt>
                <c:pt idx="12">
                  <c:v>1.2120875390605548</c:v>
                </c:pt>
                <c:pt idx="13">
                  <c:v>1.3130948339797186</c:v>
                </c:pt>
                <c:pt idx="14">
                  <c:v>1.4141021288986053</c:v>
                </c:pt>
                <c:pt idx="15">
                  <c:v>1.515109423817492</c:v>
                </c:pt>
                <c:pt idx="16">
                  <c:v>1.6161167187363858</c:v>
                </c:pt>
                <c:pt idx="17">
                  <c:v>1.7171240136552797</c:v>
                </c:pt>
                <c:pt idx="18">
                  <c:v>1.8181313085741664</c:v>
                </c:pt>
                <c:pt idx="19">
                  <c:v>1.9191386034933302</c:v>
                </c:pt>
                <c:pt idx="20">
                  <c:v>2.020145898412224</c:v>
                </c:pt>
                <c:pt idx="21">
                  <c:v>2.1211531933311036</c:v>
                </c:pt>
                <c:pt idx="22">
                  <c:v>2.2221604882499975</c:v>
                </c:pt>
                <c:pt idx="23">
                  <c:v>2.3231677831688842</c:v>
                </c:pt>
                <c:pt idx="24">
                  <c:v>2.4241750780880551</c:v>
                </c:pt>
                <c:pt idx="25">
                  <c:v>2.5251823730069418</c:v>
                </c:pt>
                <c:pt idx="26">
                  <c:v>2.6261896679258356</c:v>
                </c:pt>
                <c:pt idx="27">
                  <c:v>2.7271969628447152</c:v>
                </c:pt>
                <c:pt idx="28">
                  <c:v>2.8282042577636091</c:v>
                </c:pt>
                <c:pt idx="29">
                  <c:v>2.9292115526827729</c:v>
                </c:pt>
                <c:pt idx="30">
                  <c:v>3.0302188476016667</c:v>
                </c:pt>
                <c:pt idx="31">
                  <c:v>3.1312261425205534</c:v>
                </c:pt>
                <c:pt idx="32">
                  <c:v>3.2322334374394472</c:v>
                </c:pt>
                <c:pt idx="33">
                  <c:v>3.3332407323583269</c:v>
                </c:pt>
                <c:pt idx="34">
                  <c:v>3.4342480272774907</c:v>
                </c:pt>
                <c:pt idx="35">
                  <c:v>3.5352553221963845</c:v>
                </c:pt>
                <c:pt idx="36">
                  <c:v>3.6362626171152783</c:v>
                </c:pt>
                <c:pt idx="37">
                  <c:v>3.737269912034165</c:v>
                </c:pt>
                <c:pt idx="38">
                  <c:v>3.8382772069530589</c:v>
                </c:pt>
                <c:pt idx="39">
                  <c:v>3.9392845018719385</c:v>
                </c:pt>
                <c:pt idx="40">
                  <c:v>4.0402917967911023</c:v>
                </c:pt>
                <c:pt idx="41">
                  <c:v>4.1412990917099961</c:v>
                </c:pt>
                <c:pt idx="42">
                  <c:v>4.2423063866288828</c:v>
                </c:pt>
                <c:pt idx="43">
                  <c:v>4.3433136815477766</c:v>
                </c:pt>
                <c:pt idx="44">
                  <c:v>4.4443209764666705</c:v>
                </c:pt>
                <c:pt idx="45">
                  <c:v>4.5453282713858343</c:v>
                </c:pt>
                <c:pt idx="46">
                  <c:v>4.646335566304721</c:v>
                </c:pt>
                <c:pt idx="47">
                  <c:v>4.7473428612236077</c:v>
                </c:pt>
                <c:pt idx="48">
                  <c:v>4.8483501561424944</c:v>
                </c:pt>
                <c:pt idx="49">
                  <c:v>4.9493574510613882</c:v>
                </c:pt>
                <c:pt idx="50">
                  <c:v>5.0503647459805521</c:v>
                </c:pt>
                <c:pt idx="51">
                  <c:v>5.1513720408994459</c:v>
                </c:pt>
                <c:pt idx="52">
                  <c:v>5.2523793358183326</c:v>
                </c:pt>
                <c:pt idx="53">
                  <c:v>5.3533866307372193</c:v>
                </c:pt>
                <c:pt idx="54">
                  <c:v>5.454393925656106</c:v>
                </c:pt>
                <c:pt idx="55">
                  <c:v>5.5554012205752699</c:v>
                </c:pt>
                <c:pt idx="56">
                  <c:v>5.6564085154941637</c:v>
                </c:pt>
                <c:pt idx="57">
                  <c:v>5.7574158104130575</c:v>
                </c:pt>
                <c:pt idx="58">
                  <c:v>5.8584231053319442</c:v>
                </c:pt>
                <c:pt idx="59">
                  <c:v>5.9594304002508309</c:v>
                </c:pt>
                <c:pt idx="60">
                  <c:v>6.0604376951699948</c:v>
                </c:pt>
                <c:pt idx="61">
                  <c:v>6.1614449900888815</c:v>
                </c:pt>
                <c:pt idx="62">
                  <c:v>6.2624522850077753</c:v>
                </c:pt>
                <c:pt idx="63">
                  <c:v>6.3634595799266691</c:v>
                </c:pt>
                <c:pt idx="64">
                  <c:v>6.4644668748455558</c:v>
                </c:pt>
                <c:pt idx="65">
                  <c:v>6.5654741697644354</c:v>
                </c:pt>
                <c:pt idx="66">
                  <c:v>6.6664814646836064</c:v>
                </c:pt>
                <c:pt idx="67">
                  <c:v>6.7674887596024931</c:v>
                </c:pt>
                <c:pt idx="68">
                  <c:v>6.8684960545213869</c:v>
                </c:pt>
                <c:pt idx="69">
                  <c:v>6.9695033494402736</c:v>
                </c:pt>
                <c:pt idx="70">
                  <c:v>7.0705106443591674</c:v>
                </c:pt>
                <c:pt idx="71">
                  <c:v>7.1715179392783313</c:v>
                </c:pt>
                <c:pt idx="72">
                  <c:v>7.2725252341972251</c:v>
                </c:pt>
                <c:pt idx="73">
                  <c:v>7.3735325291161047</c:v>
                </c:pt>
                <c:pt idx="74">
                  <c:v>7.4745398240349985</c:v>
                </c:pt>
                <c:pt idx="75">
                  <c:v>7.5755471189538852</c:v>
                </c:pt>
                <c:pt idx="76">
                  <c:v>7.6765544138730561</c:v>
                </c:pt>
                <c:pt idx="77">
                  <c:v>7.7775617087919429</c:v>
                </c:pt>
                <c:pt idx="78">
                  <c:v>7.8785690037108367</c:v>
                </c:pt>
                <c:pt idx="79">
                  <c:v>7.9795762986297163</c:v>
                </c:pt>
                <c:pt idx="80">
                  <c:v>8.0805835935486101</c:v>
                </c:pt>
                <c:pt idx="81">
                  <c:v>8.1815908884677739</c:v>
                </c:pt>
                <c:pt idx="82">
                  <c:v>8.2825981833866607</c:v>
                </c:pt>
                <c:pt idx="83">
                  <c:v>8.3836054783055545</c:v>
                </c:pt>
                <c:pt idx="84">
                  <c:v>8.4846127732244483</c:v>
                </c:pt>
                <c:pt idx="85">
                  <c:v>8.5856200681433279</c:v>
                </c:pt>
                <c:pt idx="86">
                  <c:v>8.6866273630624917</c:v>
                </c:pt>
                <c:pt idx="87">
                  <c:v>8.7876346579813855</c:v>
                </c:pt>
                <c:pt idx="88">
                  <c:v>8.8886419529002723</c:v>
                </c:pt>
                <c:pt idx="89">
                  <c:v>8.9896492478191661</c:v>
                </c:pt>
                <c:pt idx="90">
                  <c:v>9.0906565427380528</c:v>
                </c:pt>
                <c:pt idx="91">
                  <c:v>9.1916638376569395</c:v>
                </c:pt>
                <c:pt idx="92">
                  <c:v>9.2926711325761033</c:v>
                </c:pt>
                <c:pt idx="93">
                  <c:v>9.3936784274949972</c:v>
                </c:pt>
                <c:pt idx="94">
                  <c:v>9.4946857224138839</c:v>
                </c:pt>
                <c:pt idx="95">
                  <c:v>9.5956930173327777</c:v>
                </c:pt>
                <c:pt idx="96">
                  <c:v>9.6967003122516644</c:v>
                </c:pt>
                <c:pt idx="97">
                  <c:v>9.7977076071708353</c:v>
                </c:pt>
                <c:pt idx="98">
                  <c:v>9.898714902089722</c:v>
                </c:pt>
                <c:pt idx="99">
                  <c:v>9.9997221970086088</c:v>
                </c:pt>
              </c:numCache>
            </c:numRef>
          </c:xVal>
          <c:yVal>
            <c:numRef>
              <c:f>Sheet1!$Y$2:$Y$101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7C-4A16-9FDF-5B2593DC6C24}"/>
            </c:ext>
          </c:extLst>
        </c:ser>
        <c:ser>
          <c:idx val="6"/>
          <c:order val="6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Sheet1!$AA$2:$AA$101</c:f>
              <c:numCache>
                <c:formatCode>General</c:formatCode>
                <c:ptCount val="100"/>
                <c:pt idx="0">
                  <c:v>-2.9167779302952113E-11</c:v>
                </c:pt>
                <c:pt idx="1">
                  <c:v>0.10100729488972604</c:v>
                </c:pt>
                <c:pt idx="2">
                  <c:v>0.20201458980861275</c:v>
                </c:pt>
                <c:pt idx="3">
                  <c:v>0.30302188472777658</c:v>
                </c:pt>
                <c:pt idx="4">
                  <c:v>0.4040291796466704</c:v>
                </c:pt>
                <c:pt idx="5">
                  <c:v>0.50503647456555001</c:v>
                </c:pt>
                <c:pt idx="6">
                  <c:v>0.60604376948444383</c:v>
                </c:pt>
                <c:pt idx="7">
                  <c:v>0.70705106440333765</c:v>
                </c:pt>
                <c:pt idx="8">
                  <c:v>0.80805835932250147</c:v>
                </c:pt>
                <c:pt idx="9">
                  <c:v>0.90906565424138819</c:v>
                </c:pt>
                <c:pt idx="10">
                  <c:v>1.010072949160282</c:v>
                </c:pt>
                <c:pt idx="11">
                  <c:v>1.1110802440791616</c:v>
                </c:pt>
                <c:pt idx="12">
                  <c:v>1.2120875389980554</c:v>
                </c:pt>
                <c:pt idx="13">
                  <c:v>1.3130948339172193</c:v>
                </c:pt>
                <c:pt idx="14">
                  <c:v>1.4141021288361131</c:v>
                </c:pt>
                <c:pt idx="15">
                  <c:v>1.5151094237549998</c:v>
                </c:pt>
                <c:pt idx="16">
                  <c:v>1.6161167186738936</c:v>
                </c:pt>
                <c:pt idx="17">
                  <c:v>1.7171240135927803</c:v>
                </c:pt>
                <c:pt idx="18">
                  <c:v>1.818131308511667</c:v>
                </c:pt>
                <c:pt idx="19">
                  <c:v>1.9191386034308309</c:v>
                </c:pt>
                <c:pt idx="20">
                  <c:v>2.0201458983497247</c:v>
                </c:pt>
                <c:pt idx="21">
                  <c:v>2.1211531932686114</c:v>
                </c:pt>
                <c:pt idx="22">
                  <c:v>2.2221604881875052</c:v>
                </c:pt>
                <c:pt idx="23">
                  <c:v>2.3231677831063919</c:v>
                </c:pt>
                <c:pt idx="24">
                  <c:v>2.4241750780255629</c:v>
                </c:pt>
                <c:pt idx="25">
                  <c:v>2.5251823729444425</c:v>
                </c:pt>
                <c:pt idx="26">
                  <c:v>2.6261896678633363</c:v>
                </c:pt>
                <c:pt idx="27">
                  <c:v>2.727196962782223</c:v>
                </c:pt>
                <c:pt idx="28">
                  <c:v>2.8282042577011168</c:v>
                </c:pt>
                <c:pt idx="29">
                  <c:v>2.9292115526202807</c:v>
                </c:pt>
                <c:pt idx="30">
                  <c:v>3.0302188475391674</c:v>
                </c:pt>
                <c:pt idx="31">
                  <c:v>3.1312261424580541</c:v>
                </c:pt>
                <c:pt idx="32">
                  <c:v>3.2322334373769408</c:v>
                </c:pt>
                <c:pt idx="33">
                  <c:v>3.3332407322958346</c:v>
                </c:pt>
                <c:pt idx="34">
                  <c:v>3.4342480272149984</c:v>
                </c:pt>
                <c:pt idx="35">
                  <c:v>3.5352553221338923</c:v>
                </c:pt>
                <c:pt idx="36">
                  <c:v>3.636262617052779</c:v>
                </c:pt>
                <c:pt idx="37">
                  <c:v>3.7372699119716657</c:v>
                </c:pt>
                <c:pt idx="38">
                  <c:v>3.8382772068905524</c:v>
                </c:pt>
                <c:pt idx="39">
                  <c:v>3.9392845018097233</c:v>
                </c:pt>
                <c:pt idx="40">
                  <c:v>4.0402917967286101</c:v>
                </c:pt>
                <c:pt idx="41">
                  <c:v>4.1412990916474968</c:v>
                </c:pt>
                <c:pt idx="42">
                  <c:v>4.2423063865663977</c:v>
                </c:pt>
                <c:pt idx="43">
                  <c:v>4.3433136814852844</c:v>
                </c:pt>
                <c:pt idx="44">
                  <c:v>4.4443209764041711</c:v>
                </c:pt>
                <c:pt idx="45">
                  <c:v>4.5453282713233278</c:v>
                </c:pt>
                <c:pt idx="46">
                  <c:v>4.6463355662422288</c:v>
                </c:pt>
                <c:pt idx="47">
                  <c:v>4.7473428611611155</c:v>
                </c:pt>
                <c:pt idx="48">
                  <c:v>4.8483501560800022</c:v>
                </c:pt>
                <c:pt idx="49">
                  <c:v>4.9493574509988889</c:v>
                </c:pt>
                <c:pt idx="50">
                  <c:v>5.0503647459180598</c:v>
                </c:pt>
                <c:pt idx="51">
                  <c:v>5.1513720408369466</c:v>
                </c:pt>
                <c:pt idx="52">
                  <c:v>5.2523793357558333</c:v>
                </c:pt>
                <c:pt idx="53">
                  <c:v>5.35338663067472</c:v>
                </c:pt>
                <c:pt idx="54">
                  <c:v>5.4543939255936209</c:v>
                </c:pt>
                <c:pt idx="55">
                  <c:v>5.5554012205127776</c:v>
                </c:pt>
                <c:pt idx="56">
                  <c:v>5.6564085154316643</c:v>
                </c:pt>
                <c:pt idx="57">
                  <c:v>5.7574158103505511</c:v>
                </c:pt>
                <c:pt idx="58">
                  <c:v>5.8584231052694378</c:v>
                </c:pt>
                <c:pt idx="59">
                  <c:v>5.9594304001883387</c:v>
                </c:pt>
                <c:pt idx="60">
                  <c:v>6.0604376951074954</c:v>
                </c:pt>
                <c:pt idx="61">
                  <c:v>6.1614449900263963</c:v>
                </c:pt>
                <c:pt idx="62">
                  <c:v>6.2624522849452831</c:v>
                </c:pt>
                <c:pt idx="63">
                  <c:v>6.3634595798641698</c:v>
                </c:pt>
                <c:pt idx="64">
                  <c:v>6.4644668747830565</c:v>
                </c:pt>
                <c:pt idx="65">
                  <c:v>6.5654741697019432</c:v>
                </c:pt>
                <c:pt idx="66">
                  <c:v>6.6664814646211141</c:v>
                </c:pt>
                <c:pt idx="67">
                  <c:v>6.7674887595400008</c:v>
                </c:pt>
                <c:pt idx="68">
                  <c:v>6.8684960544588876</c:v>
                </c:pt>
                <c:pt idx="69">
                  <c:v>6.9695033493777885</c:v>
                </c:pt>
                <c:pt idx="70">
                  <c:v>7.070510644296661</c:v>
                </c:pt>
                <c:pt idx="71">
                  <c:v>7.1715179392158319</c:v>
                </c:pt>
                <c:pt idx="72">
                  <c:v>7.2725252341347186</c:v>
                </c:pt>
                <c:pt idx="73">
                  <c:v>7.3735325290536196</c:v>
                </c:pt>
                <c:pt idx="74">
                  <c:v>7.4745398239725063</c:v>
                </c:pt>
                <c:pt idx="75">
                  <c:v>7.575547118891393</c:v>
                </c:pt>
                <c:pt idx="76">
                  <c:v>7.6765544138105639</c:v>
                </c:pt>
                <c:pt idx="77">
                  <c:v>7.7775617087294364</c:v>
                </c:pt>
                <c:pt idx="78">
                  <c:v>7.8785690036483373</c:v>
                </c:pt>
                <c:pt idx="79">
                  <c:v>7.9795762985672241</c:v>
                </c:pt>
                <c:pt idx="80">
                  <c:v>8.0805835934861108</c:v>
                </c:pt>
                <c:pt idx="81">
                  <c:v>8.1815908884052817</c:v>
                </c:pt>
                <c:pt idx="82">
                  <c:v>8.2825981833241684</c:v>
                </c:pt>
                <c:pt idx="83">
                  <c:v>8.3836054782430551</c:v>
                </c:pt>
                <c:pt idx="84">
                  <c:v>8.4846127731619418</c:v>
                </c:pt>
                <c:pt idx="85">
                  <c:v>8.5856200680808286</c:v>
                </c:pt>
                <c:pt idx="86">
                  <c:v>8.6866273629999995</c:v>
                </c:pt>
                <c:pt idx="87">
                  <c:v>8.7876346579188862</c:v>
                </c:pt>
                <c:pt idx="88">
                  <c:v>8.8886419528377871</c:v>
                </c:pt>
                <c:pt idx="89">
                  <c:v>8.9896492477566596</c:v>
                </c:pt>
                <c:pt idx="90">
                  <c:v>9.0906565426755606</c:v>
                </c:pt>
                <c:pt idx="91">
                  <c:v>9.1916638375944473</c:v>
                </c:pt>
                <c:pt idx="92">
                  <c:v>9.2926711325136182</c:v>
                </c:pt>
                <c:pt idx="93">
                  <c:v>9.3936784274325049</c:v>
                </c:pt>
                <c:pt idx="94">
                  <c:v>9.4946857223513916</c:v>
                </c:pt>
                <c:pt idx="95">
                  <c:v>9.5956930172702783</c:v>
                </c:pt>
                <c:pt idx="96">
                  <c:v>9.6967003121891651</c:v>
                </c:pt>
                <c:pt idx="97">
                  <c:v>9.797707607108336</c:v>
                </c:pt>
                <c:pt idx="98">
                  <c:v>9.8987149020272227</c:v>
                </c:pt>
                <c:pt idx="99">
                  <c:v>9.9997221969461094</c:v>
                </c:pt>
              </c:numCache>
            </c:numRef>
          </c:xVal>
          <c:yVal>
            <c:numRef>
              <c:f>Sheet1!$AC$2:$AC$101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7C-4A16-9FDF-5B2593DC6C24}"/>
            </c:ext>
          </c:extLst>
        </c:ser>
        <c:ser>
          <c:idx val="7"/>
          <c:order val="7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Sheet1!$AE$2:$AE$101</c:f>
              <c:numCache>
                <c:formatCode>General</c:formatCode>
                <c:ptCount val="100"/>
                <c:pt idx="0">
                  <c:v>-2.361844053666573E-11</c:v>
                </c:pt>
                <c:pt idx="1">
                  <c:v>0.10100729489528248</c:v>
                </c:pt>
                <c:pt idx="2">
                  <c:v>0.2020145898141692</c:v>
                </c:pt>
                <c:pt idx="3">
                  <c:v>0.30302188473334013</c:v>
                </c:pt>
                <c:pt idx="4">
                  <c:v>0.40402917965222684</c:v>
                </c:pt>
                <c:pt idx="5">
                  <c:v>0.50503647457111356</c:v>
                </c:pt>
                <c:pt idx="6">
                  <c:v>0.60604376949000027</c:v>
                </c:pt>
                <c:pt idx="7">
                  <c:v>0.70705106440888699</c:v>
                </c:pt>
                <c:pt idx="8">
                  <c:v>0.80805835932805792</c:v>
                </c:pt>
                <c:pt idx="9">
                  <c:v>0.90906565424694463</c:v>
                </c:pt>
                <c:pt idx="10">
                  <c:v>1.0100729491658313</c:v>
                </c:pt>
                <c:pt idx="11">
                  <c:v>1.1110802440847323</c:v>
                </c:pt>
                <c:pt idx="12">
                  <c:v>1.212087539003619</c:v>
                </c:pt>
                <c:pt idx="13">
                  <c:v>1.3130948339227899</c:v>
                </c:pt>
                <c:pt idx="14">
                  <c:v>1.4141021288416624</c:v>
                </c:pt>
                <c:pt idx="15">
                  <c:v>1.5151094237605633</c:v>
                </c:pt>
                <c:pt idx="16">
                  <c:v>1.6161167186794501</c:v>
                </c:pt>
                <c:pt idx="17">
                  <c:v>1.7171240135983368</c:v>
                </c:pt>
                <c:pt idx="18">
                  <c:v>1.8181313085172235</c:v>
                </c:pt>
                <c:pt idx="19">
                  <c:v>1.9191386034363944</c:v>
                </c:pt>
                <c:pt idx="20">
                  <c:v>2.0201458983552811</c:v>
                </c:pt>
                <c:pt idx="21">
                  <c:v>2.1211531932741678</c:v>
                </c:pt>
                <c:pt idx="22">
                  <c:v>2.2221604881930546</c:v>
                </c:pt>
                <c:pt idx="23">
                  <c:v>2.3231677831119555</c:v>
                </c:pt>
                <c:pt idx="24">
                  <c:v>2.4241750780311122</c:v>
                </c:pt>
                <c:pt idx="25">
                  <c:v>2.5251823729499989</c:v>
                </c:pt>
                <c:pt idx="26">
                  <c:v>2.6261896678688856</c:v>
                </c:pt>
                <c:pt idx="27">
                  <c:v>2.7271969627877723</c:v>
                </c:pt>
                <c:pt idx="28">
                  <c:v>2.8282042577066733</c:v>
                </c:pt>
                <c:pt idx="29">
                  <c:v>2.92921155262583</c:v>
                </c:pt>
                <c:pt idx="30">
                  <c:v>3.0302188475447167</c:v>
                </c:pt>
                <c:pt idx="31">
                  <c:v>3.1312261424636176</c:v>
                </c:pt>
                <c:pt idx="32">
                  <c:v>3.2322334373825043</c:v>
                </c:pt>
                <c:pt idx="33">
                  <c:v>3.3332407323013911</c:v>
                </c:pt>
                <c:pt idx="34">
                  <c:v>3.434248027220562</c:v>
                </c:pt>
                <c:pt idx="35">
                  <c:v>3.5352553221394487</c:v>
                </c:pt>
                <c:pt idx="36">
                  <c:v>3.6362626170583354</c:v>
                </c:pt>
                <c:pt idx="37">
                  <c:v>3.7372699119772221</c:v>
                </c:pt>
                <c:pt idx="38">
                  <c:v>3.8382772068961231</c:v>
                </c:pt>
                <c:pt idx="39">
                  <c:v>3.9392845018149956</c:v>
                </c:pt>
                <c:pt idx="40">
                  <c:v>4.0402917967341807</c:v>
                </c:pt>
                <c:pt idx="41">
                  <c:v>4.1412990916530532</c:v>
                </c:pt>
                <c:pt idx="42">
                  <c:v>4.2423063865719541</c:v>
                </c:pt>
                <c:pt idx="43">
                  <c:v>4.3433136814908408</c:v>
                </c:pt>
                <c:pt idx="44">
                  <c:v>4.4443209764097276</c:v>
                </c:pt>
                <c:pt idx="45">
                  <c:v>4.5453282713288985</c:v>
                </c:pt>
                <c:pt idx="46">
                  <c:v>4.646335566247771</c:v>
                </c:pt>
                <c:pt idx="47">
                  <c:v>4.7473428611666719</c:v>
                </c:pt>
                <c:pt idx="48">
                  <c:v>4.8483501560855586</c:v>
                </c:pt>
                <c:pt idx="49">
                  <c:v>4.9493574510044454</c:v>
                </c:pt>
                <c:pt idx="50">
                  <c:v>5.0503647459236163</c:v>
                </c:pt>
                <c:pt idx="51">
                  <c:v>5.151372040842503</c:v>
                </c:pt>
                <c:pt idx="52">
                  <c:v>5.2523793357613897</c:v>
                </c:pt>
                <c:pt idx="53">
                  <c:v>5.3533866306802764</c:v>
                </c:pt>
                <c:pt idx="54">
                  <c:v>5.4543939255991774</c:v>
                </c:pt>
                <c:pt idx="55">
                  <c:v>5.5554012205183341</c:v>
                </c:pt>
                <c:pt idx="56">
                  <c:v>5.6564085154372208</c:v>
                </c:pt>
                <c:pt idx="57">
                  <c:v>5.7574158103561217</c:v>
                </c:pt>
                <c:pt idx="58">
                  <c:v>5.8584231052749942</c:v>
                </c:pt>
                <c:pt idx="59">
                  <c:v>5.9594304001938951</c:v>
                </c:pt>
                <c:pt idx="60">
                  <c:v>6.0604376951130519</c:v>
                </c:pt>
                <c:pt idx="61">
                  <c:v>6.1614449900319528</c:v>
                </c:pt>
                <c:pt idx="62">
                  <c:v>6.2624522849508395</c:v>
                </c:pt>
                <c:pt idx="63">
                  <c:v>6.363459579869712</c:v>
                </c:pt>
                <c:pt idx="64">
                  <c:v>6.4644668747886129</c:v>
                </c:pt>
                <c:pt idx="65">
                  <c:v>6.5654741697074996</c:v>
                </c:pt>
                <c:pt idx="66">
                  <c:v>6.6664814646266706</c:v>
                </c:pt>
                <c:pt idx="67">
                  <c:v>6.7674887595455573</c:v>
                </c:pt>
                <c:pt idx="68">
                  <c:v>6.868496054464444</c:v>
                </c:pt>
                <c:pt idx="69">
                  <c:v>6.9695033493833449</c:v>
                </c:pt>
                <c:pt idx="70">
                  <c:v>7.0705106443022174</c:v>
                </c:pt>
                <c:pt idx="71">
                  <c:v>7.1715179392213884</c:v>
                </c:pt>
                <c:pt idx="72">
                  <c:v>7.2725252341402751</c:v>
                </c:pt>
                <c:pt idx="73">
                  <c:v>7.373532529059176</c:v>
                </c:pt>
                <c:pt idx="74">
                  <c:v>7.4745398239780627</c:v>
                </c:pt>
                <c:pt idx="75">
                  <c:v>7.5755471188969352</c:v>
                </c:pt>
                <c:pt idx="76">
                  <c:v>7.6765544138161204</c:v>
                </c:pt>
                <c:pt idx="77">
                  <c:v>7.7775617087349929</c:v>
                </c:pt>
                <c:pt idx="78">
                  <c:v>7.8785690036538938</c:v>
                </c:pt>
                <c:pt idx="79">
                  <c:v>7.9795762985727805</c:v>
                </c:pt>
                <c:pt idx="80">
                  <c:v>8.0805835934916814</c:v>
                </c:pt>
                <c:pt idx="81">
                  <c:v>8.1815908884108381</c:v>
                </c:pt>
                <c:pt idx="82">
                  <c:v>8.2825981833297107</c:v>
                </c:pt>
                <c:pt idx="83">
                  <c:v>8.3836054782486116</c:v>
                </c:pt>
                <c:pt idx="84">
                  <c:v>8.4846127731674983</c:v>
                </c:pt>
                <c:pt idx="85">
                  <c:v>8.5856200680863992</c:v>
                </c:pt>
                <c:pt idx="86">
                  <c:v>8.6866273630055559</c:v>
                </c:pt>
                <c:pt idx="87">
                  <c:v>8.7876346579244569</c:v>
                </c:pt>
                <c:pt idx="88">
                  <c:v>8.8886419528433294</c:v>
                </c:pt>
                <c:pt idx="89">
                  <c:v>8.9896492477622161</c:v>
                </c:pt>
                <c:pt idx="90">
                  <c:v>9.090656542681117</c:v>
                </c:pt>
                <c:pt idx="91">
                  <c:v>9.1916638376000037</c:v>
                </c:pt>
                <c:pt idx="92">
                  <c:v>9.2926711325191746</c:v>
                </c:pt>
                <c:pt idx="93">
                  <c:v>9.3936784274380614</c:v>
                </c:pt>
                <c:pt idx="94">
                  <c:v>9.4946857223569339</c:v>
                </c:pt>
                <c:pt idx="95">
                  <c:v>9.5956930172758348</c:v>
                </c:pt>
                <c:pt idx="96">
                  <c:v>9.6967003121947215</c:v>
                </c:pt>
                <c:pt idx="97">
                  <c:v>9.7977076071138924</c:v>
                </c:pt>
                <c:pt idx="98">
                  <c:v>9.8987149020327792</c:v>
                </c:pt>
                <c:pt idx="99">
                  <c:v>9.9997221969516801</c:v>
                </c:pt>
              </c:numCache>
            </c:numRef>
          </c:xVal>
          <c:yVal>
            <c:numRef>
              <c:f>Sheet1!$AG$2:$AG$101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37C-4A16-9FDF-5B2593DC6C24}"/>
            </c:ext>
          </c:extLst>
        </c:ser>
        <c:ser>
          <c:idx val="8"/>
          <c:order val="8"/>
          <c:spPr>
            <a:ln w="28800">
              <a:noFill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Sheet1!$AI$2:$AI$101</c:f>
              <c:numCache>
                <c:formatCode>General</c:formatCode>
                <c:ptCount val="100"/>
                <c:pt idx="0">
                  <c:v>-8.3275608631083742E-12</c:v>
                </c:pt>
                <c:pt idx="1">
                  <c:v>0.10100729491055915</c:v>
                </c:pt>
                <c:pt idx="2">
                  <c:v>0.20201458982944587</c:v>
                </c:pt>
                <c:pt idx="3">
                  <c:v>0.30302188474860259</c:v>
                </c:pt>
                <c:pt idx="4">
                  <c:v>0.40402917966750351</c:v>
                </c:pt>
                <c:pt idx="5">
                  <c:v>0.50503647458639023</c:v>
                </c:pt>
                <c:pt idx="6">
                  <c:v>0.60604376950529115</c:v>
                </c:pt>
                <c:pt idx="7">
                  <c:v>0.70705106442416366</c:v>
                </c:pt>
                <c:pt idx="8">
                  <c:v>0.80805835934333459</c:v>
                </c:pt>
                <c:pt idx="9">
                  <c:v>0.9090656542622213</c:v>
                </c:pt>
                <c:pt idx="10">
                  <c:v>1.010072949181108</c:v>
                </c:pt>
                <c:pt idx="11">
                  <c:v>1.1110802441000089</c:v>
                </c:pt>
                <c:pt idx="12">
                  <c:v>1.2120875390188814</c:v>
                </c:pt>
                <c:pt idx="13">
                  <c:v>1.3130948339380666</c:v>
                </c:pt>
                <c:pt idx="14">
                  <c:v>1.4141021288569391</c:v>
                </c:pt>
                <c:pt idx="15">
                  <c:v>1.5151094237758258</c:v>
                </c:pt>
                <c:pt idx="16">
                  <c:v>1.6161167186947267</c:v>
                </c:pt>
                <c:pt idx="17">
                  <c:v>1.7171240136136134</c:v>
                </c:pt>
                <c:pt idx="18">
                  <c:v>1.8181313085325002</c:v>
                </c:pt>
                <c:pt idx="19">
                  <c:v>1.9191386034516711</c:v>
                </c:pt>
                <c:pt idx="20">
                  <c:v>2.0201458983705578</c:v>
                </c:pt>
                <c:pt idx="21">
                  <c:v>2.1211531932894445</c:v>
                </c:pt>
                <c:pt idx="22">
                  <c:v>2.2221604882083312</c:v>
                </c:pt>
                <c:pt idx="23">
                  <c:v>2.3231677831272322</c:v>
                </c:pt>
                <c:pt idx="24">
                  <c:v>2.4241750780463889</c:v>
                </c:pt>
                <c:pt idx="25">
                  <c:v>2.5251823729652898</c:v>
                </c:pt>
                <c:pt idx="26">
                  <c:v>2.6261896678841623</c:v>
                </c:pt>
                <c:pt idx="27">
                  <c:v>2.727196962803049</c:v>
                </c:pt>
                <c:pt idx="28">
                  <c:v>2.8282042577219499</c:v>
                </c:pt>
                <c:pt idx="29">
                  <c:v>2.9292115526411067</c:v>
                </c:pt>
                <c:pt idx="30">
                  <c:v>3.0302188475600076</c:v>
                </c:pt>
                <c:pt idx="31">
                  <c:v>3.1312261424788801</c:v>
                </c:pt>
                <c:pt idx="32">
                  <c:v>3.232233437397781</c:v>
                </c:pt>
                <c:pt idx="33">
                  <c:v>3.3332407323166677</c:v>
                </c:pt>
                <c:pt idx="34">
                  <c:v>3.4342480272358387</c:v>
                </c:pt>
                <c:pt idx="35">
                  <c:v>3.5352553221547254</c:v>
                </c:pt>
                <c:pt idx="36">
                  <c:v>3.6362626170736121</c:v>
                </c:pt>
                <c:pt idx="37">
                  <c:v>3.7372699119924988</c:v>
                </c:pt>
                <c:pt idx="38">
                  <c:v>3.8382772069113855</c:v>
                </c:pt>
                <c:pt idx="39">
                  <c:v>3.9392845018305565</c:v>
                </c:pt>
                <c:pt idx="40">
                  <c:v>4.0402917967494432</c:v>
                </c:pt>
                <c:pt idx="41">
                  <c:v>4.1412990916683299</c:v>
                </c:pt>
                <c:pt idx="42">
                  <c:v>4.2423063865872308</c:v>
                </c:pt>
                <c:pt idx="43">
                  <c:v>4.3433136815061033</c:v>
                </c:pt>
                <c:pt idx="44">
                  <c:v>4.4443209764250042</c:v>
                </c:pt>
                <c:pt idx="45">
                  <c:v>4.545328271344161</c:v>
                </c:pt>
                <c:pt idx="46">
                  <c:v>4.6463355662630619</c:v>
                </c:pt>
                <c:pt idx="47">
                  <c:v>4.7473428611819486</c:v>
                </c:pt>
                <c:pt idx="48">
                  <c:v>4.8483501561008211</c:v>
                </c:pt>
                <c:pt idx="49">
                  <c:v>4.949357451019722</c:v>
                </c:pt>
                <c:pt idx="50">
                  <c:v>5.0503647459388787</c:v>
                </c:pt>
                <c:pt idx="51">
                  <c:v>5.1513720408577797</c:v>
                </c:pt>
                <c:pt idx="52">
                  <c:v>5.2523793357766664</c:v>
                </c:pt>
                <c:pt idx="53">
                  <c:v>5.3533866306955531</c:v>
                </c:pt>
                <c:pt idx="54">
                  <c:v>5.454393925614454</c:v>
                </c:pt>
                <c:pt idx="55">
                  <c:v>5.5554012205336107</c:v>
                </c:pt>
                <c:pt idx="56">
                  <c:v>5.6564085154524975</c:v>
                </c:pt>
                <c:pt idx="57">
                  <c:v>5.7574158103713842</c:v>
                </c:pt>
                <c:pt idx="58">
                  <c:v>5.8584231052902851</c:v>
                </c:pt>
                <c:pt idx="59">
                  <c:v>5.9594304002091718</c:v>
                </c:pt>
                <c:pt idx="60">
                  <c:v>6.0604376951283427</c:v>
                </c:pt>
                <c:pt idx="61">
                  <c:v>6.1614449900472295</c:v>
                </c:pt>
                <c:pt idx="62">
                  <c:v>6.262452284966102</c:v>
                </c:pt>
                <c:pt idx="63">
                  <c:v>6.3634595798850029</c:v>
                </c:pt>
                <c:pt idx="64">
                  <c:v>6.4644668748038896</c:v>
                </c:pt>
                <c:pt idx="65">
                  <c:v>6.5654741697230605</c:v>
                </c:pt>
                <c:pt idx="66">
                  <c:v>6.6664814646419472</c:v>
                </c:pt>
                <c:pt idx="67">
                  <c:v>6.7674887595608197</c:v>
                </c:pt>
                <c:pt idx="68">
                  <c:v>6.8684960544797207</c:v>
                </c:pt>
                <c:pt idx="69">
                  <c:v>6.9695033493986074</c:v>
                </c:pt>
                <c:pt idx="70">
                  <c:v>7.0705106443175083</c:v>
                </c:pt>
                <c:pt idx="71">
                  <c:v>7.171517939236665</c:v>
                </c:pt>
                <c:pt idx="72">
                  <c:v>7.272525234155566</c:v>
                </c:pt>
                <c:pt idx="73">
                  <c:v>7.3735325290744527</c:v>
                </c:pt>
                <c:pt idx="74">
                  <c:v>7.4745398239933252</c:v>
                </c:pt>
                <c:pt idx="75">
                  <c:v>7.5755471189122261</c:v>
                </c:pt>
                <c:pt idx="76">
                  <c:v>7.6765544138313828</c:v>
                </c:pt>
                <c:pt idx="77">
                  <c:v>7.7775617087502837</c:v>
                </c:pt>
                <c:pt idx="78">
                  <c:v>7.8785690036691705</c:v>
                </c:pt>
                <c:pt idx="79">
                  <c:v>7.979576298588043</c:v>
                </c:pt>
                <c:pt idx="80">
                  <c:v>8.0805835935069439</c:v>
                </c:pt>
                <c:pt idx="81">
                  <c:v>8.1815908884261006</c:v>
                </c:pt>
                <c:pt idx="82">
                  <c:v>8.2825981833450015</c:v>
                </c:pt>
                <c:pt idx="83">
                  <c:v>8.3836054782638882</c:v>
                </c:pt>
                <c:pt idx="84">
                  <c:v>8.4846127731827892</c:v>
                </c:pt>
                <c:pt idx="85">
                  <c:v>8.5856200681016617</c:v>
                </c:pt>
                <c:pt idx="86">
                  <c:v>8.6866273630208468</c:v>
                </c:pt>
                <c:pt idx="87">
                  <c:v>8.7876346579397193</c:v>
                </c:pt>
                <c:pt idx="88">
                  <c:v>8.888641952858606</c:v>
                </c:pt>
                <c:pt idx="89">
                  <c:v>8.989649247777507</c:v>
                </c:pt>
                <c:pt idx="90">
                  <c:v>9.0906565426963937</c:v>
                </c:pt>
                <c:pt idx="91">
                  <c:v>9.1916638376155646</c:v>
                </c:pt>
                <c:pt idx="92">
                  <c:v>9.2926711325344371</c:v>
                </c:pt>
                <c:pt idx="93">
                  <c:v>9.3936784274533238</c:v>
                </c:pt>
                <c:pt idx="94">
                  <c:v>9.4946857223722247</c:v>
                </c:pt>
                <c:pt idx="95">
                  <c:v>9.5956930172911115</c:v>
                </c:pt>
                <c:pt idx="96">
                  <c:v>9.6967003122100124</c:v>
                </c:pt>
                <c:pt idx="97">
                  <c:v>9.7977076071291691</c:v>
                </c:pt>
                <c:pt idx="98">
                  <c:v>9.89871490204807</c:v>
                </c:pt>
                <c:pt idx="99">
                  <c:v>9.9997221969669425</c:v>
                </c:pt>
              </c:numCache>
            </c:numRef>
          </c:xVal>
          <c:yVal>
            <c:numRef>
              <c:f>Sheet1!$AK$2:$AK$101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37C-4A16-9FDF-5B2593DC6C24}"/>
            </c:ext>
          </c:extLst>
        </c:ser>
        <c:ser>
          <c:idx val="9"/>
          <c:order val="9"/>
          <c:spPr>
            <a:ln w="28800">
              <a:noFill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Sheet1!$AM$2:$AM$101</c:f>
              <c:numCache>
                <c:formatCode>General</c:formatCode>
                <c:ptCount val="100"/>
                <c:pt idx="0">
                  <c:v>-1.3884005056752358E-11</c:v>
                </c:pt>
                <c:pt idx="1">
                  <c:v>0.10100729490501692</c:v>
                </c:pt>
                <c:pt idx="2">
                  <c:v>0.20201458982388942</c:v>
                </c:pt>
                <c:pt idx="3">
                  <c:v>0.30302188474304614</c:v>
                </c:pt>
                <c:pt idx="4">
                  <c:v>0.40402917966194707</c:v>
                </c:pt>
                <c:pt idx="5">
                  <c:v>0.50503647458083378</c:v>
                </c:pt>
                <c:pt idx="6">
                  <c:v>0.60604376949973471</c:v>
                </c:pt>
                <c:pt idx="7">
                  <c:v>0.70705106441862142</c:v>
                </c:pt>
                <c:pt idx="8">
                  <c:v>0.80805835933779235</c:v>
                </c:pt>
                <c:pt idx="9">
                  <c:v>0.90906565425666486</c:v>
                </c:pt>
                <c:pt idx="10">
                  <c:v>1.0100729491755516</c:v>
                </c:pt>
                <c:pt idx="11">
                  <c:v>1.1110802440944525</c:v>
                </c:pt>
                <c:pt idx="12">
                  <c:v>1.2120875390133392</c:v>
                </c:pt>
                <c:pt idx="13">
                  <c:v>1.3130948339325101</c:v>
                </c:pt>
                <c:pt idx="14">
                  <c:v>1.4141021288513969</c:v>
                </c:pt>
                <c:pt idx="15">
                  <c:v>1.5151094237702694</c:v>
                </c:pt>
                <c:pt idx="16">
                  <c:v>1.6161167186891703</c:v>
                </c:pt>
                <c:pt idx="17">
                  <c:v>1.717124013608057</c:v>
                </c:pt>
                <c:pt idx="18">
                  <c:v>1.8181313085269579</c:v>
                </c:pt>
                <c:pt idx="19">
                  <c:v>1.9191386034461146</c:v>
                </c:pt>
                <c:pt idx="20">
                  <c:v>2.0201458983650156</c:v>
                </c:pt>
                <c:pt idx="21">
                  <c:v>2.1211531932838881</c:v>
                </c:pt>
                <c:pt idx="22">
                  <c:v>2.2221604882027748</c:v>
                </c:pt>
                <c:pt idx="23">
                  <c:v>2.3231677831216757</c:v>
                </c:pt>
                <c:pt idx="24">
                  <c:v>2.4241750780408324</c:v>
                </c:pt>
                <c:pt idx="25">
                  <c:v>2.5251823729597334</c:v>
                </c:pt>
                <c:pt idx="26">
                  <c:v>2.6261896678786059</c:v>
                </c:pt>
                <c:pt idx="27">
                  <c:v>2.7271969627975068</c:v>
                </c:pt>
                <c:pt idx="28">
                  <c:v>2.8282042577163935</c:v>
                </c:pt>
                <c:pt idx="29">
                  <c:v>2.9292115526355502</c:v>
                </c:pt>
                <c:pt idx="30">
                  <c:v>3.0302188475544511</c:v>
                </c:pt>
                <c:pt idx="31">
                  <c:v>3.1312261424733379</c:v>
                </c:pt>
                <c:pt idx="32">
                  <c:v>3.2322334373922388</c:v>
                </c:pt>
                <c:pt idx="33">
                  <c:v>3.3332407323111113</c:v>
                </c:pt>
                <c:pt idx="34">
                  <c:v>3.4342480272302822</c:v>
                </c:pt>
                <c:pt idx="35">
                  <c:v>3.5352553221491689</c:v>
                </c:pt>
                <c:pt idx="36">
                  <c:v>3.6362626170680556</c:v>
                </c:pt>
                <c:pt idx="37">
                  <c:v>3.7372699119869566</c:v>
                </c:pt>
                <c:pt idx="38">
                  <c:v>3.8382772069058291</c:v>
                </c:pt>
                <c:pt idx="39">
                  <c:v>3.9392845018250142</c:v>
                </c:pt>
                <c:pt idx="40">
                  <c:v>4.0402917967438867</c:v>
                </c:pt>
                <c:pt idx="41">
                  <c:v>4.1412990916627734</c:v>
                </c:pt>
                <c:pt idx="42">
                  <c:v>4.2423063865816744</c:v>
                </c:pt>
                <c:pt idx="43">
                  <c:v>4.3433136815005611</c:v>
                </c:pt>
                <c:pt idx="44">
                  <c:v>4.4443209764194478</c:v>
                </c:pt>
                <c:pt idx="45">
                  <c:v>4.5453282713386045</c:v>
                </c:pt>
                <c:pt idx="46">
                  <c:v>4.6463355662575054</c:v>
                </c:pt>
                <c:pt idx="47">
                  <c:v>4.7473428611763921</c:v>
                </c:pt>
                <c:pt idx="48">
                  <c:v>4.8483501560952789</c:v>
                </c:pt>
                <c:pt idx="49">
                  <c:v>4.9493574510141798</c:v>
                </c:pt>
                <c:pt idx="50">
                  <c:v>5.0503647459333365</c:v>
                </c:pt>
                <c:pt idx="51">
                  <c:v>5.1513720408522232</c:v>
                </c:pt>
                <c:pt idx="52">
                  <c:v>5.2523793357711099</c:v>
                </c:pt>
                <c:pt idx="53">
                  <c:v>5.3533866306900109</c:v>
                </c:pt>
                <c:pt idx="54">
                  <c:v>5.4543939256088976</c:v>
                </c:pt>
                <c:pt idx="55">
                  <c:v>5.5554012205280543</c:v>
                </c:pt>
                <c:pt idx="56">
                  <c:v>5.6564085154469552</c:v>
                </c:pt>
                <c:pt idx="57">
                  <c:v>5.7574158103658277</c:v>
                </c:pt>
                <c:pt idx="58">
                  <c:v>5.8584231052847286</c:v>
                </c:pt>
                <c:pt idx="59">
                  <c:v>5.9594304002036154</c:v>
                </c:pt>
                <c:pt idx="60">
                  <c:v>6.0604376951227863</c:v>
                </c:pt>
                <c:pt idx="61">
                  <c:v>6.161444990041673</c:v>
                </c:pt>
                <c:pt idx="62">
                  <c:v>6.2624522849605597</c:v>
                </c:pt>
                <c:pt idx="63">
                  <c:v>6.3634595798794464</c:v>
                </c:pt>
                <c:pt idx="64">
                  <c:v>6.4644668747983332</c:v>
                </c:pt>
                <c:pt idx="65">
                  <c:v>6.5654741697175041</c:v>
                </c:pt>
                <c:pt idx="66">
                  <c:v>6.6664814646363908</c:v>
                </c:pt>
                <c:pt idx="67">
                  <c:v>6.7674887595552775</c:v>
                </c:pt>
                <c:pt idx="68">
                  <c:v>6.8684960544741784</c:v>
                </c:pt>
                <c:pt idx="69">
                  <c:v>6.9695033493930509</c:v>
                </c:pt>
                <c:pt idx="70">
                  <c:v>7.0705106443119519</c:v>
                </c:pt>
                <c:pt idx="71">
                  <c:v>7.1715179392311086</c:v>
                </c:pt>
                <c:pt idx="72">
                  <c:v>7.2725252341500095</c:v>
                </c:pt>
                <c:pt idx="73">
                  <c:v>7.3735325290688962</c:v>
                </c:pt>
                <c:pt idx="74">
                  <c:v>7.4745398239877687</c:v>
                </c:pt>
                <c:pt idx="75">
                  <c:v>7.5755471189066697</c:v>
                </c:pt>
                <c:pt idx="76">
                  <c:v>7.6765544138258264</c:v>
                </c:pt>
                <c:pt idx="77">
                  <c:v>7.7775617087447273</c:v>
                </c:pt>
                <c:pt idx="78">
                  <c:v>7.878569003663614</c:v>
                </c:pt>
                <c:pt idx="79">
                  <c:v>7.9795762985825149</c:v>
                </c:pt>
                <c:pt idx="80">
                  <c:v>8.0805835935013874</c:v>
                </c:pt>
                <c:pt idx="81">
                  <c:v>8.1815908884205584</c:v>
                </c:pt>
                <c:pt idx="82">
                  <c:v>8.2825981833394451</c:v>
                </c:pt>
                <c:pt idx="83">
                  <c:v>8.3836054782583318</c:v>
                </c:pt>
                <c:pt idx="84">
                  <c:v>8.4846127731772327</c:v>
                </c:pt>
                <c:pt idx="85">
                  <c:v>8.5856200680961194</c:v>
                </c:pt>
                <c:pt idx="86">
                  <c:v>8.6866273630152904</c:v>
                </c:pt>
                <c:pt idx="87">
                  <c:v>8.7876346579341771</c:v>
                </c:pt>
                <c:pt idx="88">
                  <c:v>8.8886419528530496</c:v>
                </c:pt>
                <c:pt idx="89">
                  <c:v>8.9896492477719505</c:v>
                </c:pt>
                <c:pt idx="90">
                  <c:v>9.0906565426908372</c:v>
                </c:pt>
                <c:pt idx="91">
                  <c:v>9.1916638376097382</c:v>
                </c:pt>
                <c:pt idx="92">
                  <c:v>9.2926711325288949</c:v>
                </c:pt>
                <c:pt idx="93">
                  <c:v>9.3936784274477674</c:v>
                </c:pt>
                <c:pt idx="94">
                  <c:v>9.4946857223666683</c:v>
                </c:pt>
                <c:pt idx="95">
                  <c:v>9.595693017285555</c:v>
                </c:pt>
                <c:pt idx="96">
                  <c:v>9.6967003122044559</c:v>
                </c:pt>
                <c:pt idx="97">
                  <c:v>9.7977076071236127</c:v>
                </c:pt>
                <c:pt idx="98">
                  <c:v>9.8987149020425136</c:v>
                </c:pt>
                <c:pt idx="99">
                  <c:v>9.9997221969613861</c:v>
                </c:pt>
              </c:numCache>
            </c:numRef>
          </c:xVal>
          <c:yVal>
            <c:numRef>
              <c:f>Sheet1!$AO$2:$AO$101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37C-4A16-9FDF-5B2593DC6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36113"/>
        <c:axId val="44475639"/>
      </c:scatterChart>
      <c:valAx>
        <c:axId val="92036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Q</a:t>
                </a:r>
                <a:r>
                  <a:rPr lang="fr-FR" baseline="0"/>
                  <a:t> mAh</a:t>
                </a:r>
                <a:endParaRPr lang="fr-F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endParaRPr lang="fr-FR"/>
          </a:p>
        </c:txPr>
        <c:crossAx val="44475639"/>
        <c:crosses val="autoZero"/>
        <c:crossBetween val="midCat"/>
      </c:valAx>
      <c:valAx>
        <c:axId val="4447563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Ttension</a:t>
                </a:r>
                <a:r>
                  <a:rPr lang="fr-FR" baseline="0"/>
                  <a:t> V</a:t>
                </a:r>
                <a:endParaRPr lang="fr-F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endParaRPr lang="fr-FR"/>
          </a:p>
        </c:txPr>
        <c:crossAx val="9203611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Sheet1!$E$2:$E$101</c:f>
              <c:numCache>
                <c:formatCode>General</c:formatCode>
                <c:ptCount val="100"/>
                <c:pt idx="0">
                  <c:v>5.6265629447417164E-4</c:v>
                </c:pt>
                <c:pt idx="1">
                  <c:v>1.06579829985704E-2</c:v>
                </c:pt>
                <c:pt idx="2">
                  <c:v>2.0753309702666603E-2</c:v>
                </c:pt>
                <c:pt idx="3">
                  <c:v>3.0848636406762941E-2</c:v>
                </c:pt>
                <c:pt idx="4">
                  <c:v>4.0943963110859037E-2</c:v>
                </c:pt>
                <c:pt idx="5">
                  <c:v>5.1039289814955403E-2</c:v>
                </c:pt>
                <c:pt idx="6">
                  <c:v>6.1134616519051485E-2</c:v>
                </c:pt>
                <c:pt idx="7">
                  <c:v>7.1229943223147588E-2</c:v>
                </c:pt>
                <c:pt idx="8">
                  <c:v>8.1325269927243954E-2</c:v>
                </c:pt>
                <c:pt idx="9">
                  <c:v>9.1420596631340056E-2</c:v>
                </c:pt>
                <c:pt idx="10">
                  <c:v>0.10151592333543641</c:v>
                </c:pt>
                <c:pt idx="11">
                  <c:v>0.11161125003953251</c:v>
                </c:pt>
                <c:pt idx="12">
                  <c:v>0.12170657674362888</c:v>
                </c:pt>
                <c:pt idx="13">
                  <c:v>0.13180190344772497</c:v>
                </c:pt>
                <c:pt idx="14">
                  <c:v>0.14189723015182132</c:v>
                </c:pt>
                <c:pt idx="15">
                  <c:v>0.15199255685591742</c:v>
                </c:pt>
                <c:pt idx="16">
                  <c:v>0.1620878835600138</c:v>
                </c:pt>
                <c:pt idx="17">
                  <c:v>0.1721832102641099</c:v>
                </c:pt>
                <c:pt idx="18">
                  <c:v>0.18227853696820626</c:v>
                </c:pt>
                <c:pt idx="19">
                  <c:v>0.19237386367230236</c:v>
                </c:pt>
                <c:pt idx="20">
                  <c:v>0.20246919037639874</c:v>
                </c:pt>
                <c:pt idx="21">
                  <c:v>0.21256451708049484</c:v>
                </c:pt>
                <c:pt idx="22">
                  <c:v>0.22265984378459089</c:v>
                </c:pt>
                <c:pt idx="23">
                  <c:v>0.23275517048868727</c:v>
                </c:pt>
                <c:pt idx="24">
                  <c:v>0.24285049719278337</c:v>
                </c:pt>
                <c:pt idx="25">
                  <c:v>0.25294582389687975</c:v>
                </c:pt>
                <c:pt idx="26">
                  <c:v>0.26304115060097583</c:v>
                </c:pt>
                <c:pt idx="27">
                  <c:v>0.27313647730507218</c:v>
                </c:pt>
                <c:pt idx="28">
                  <c:v>0.28323180400916886</c:v>
                </c:pt>
                <c:pt idx="29">
                  <c:v>0.29332713071326522</c:v>
                </c:pt>
                <c:pt idx="30">
                  <c:v>0.30342245741736157</c:v>
                </c:pt>
                <c:pt idx="31">
                  <c:v>0.31351778412145792</c:v>
                </c:pt>
                <c:pt idx="32">
                  <c:v>0.32361311082555433</c:v>
                </c:pt>
                <c:pt idx="33">
                  <c:v>0.33370843752965068</c:v>
                </c:pt>
                <c:pt idx="34">
                  <c:v>0.34380376423374703</c:v>
                </c:pt>
                <c:pt idx="35">
                  <c:v>0.35389909093784061</c:v>
                </c:pt>
                <c:pt idx="36">
                  <c:v>0.36399441764193702</c:v>
                </c:pt>
                <c:pt idx="37">
                  <c:v>0.37408974434603343</c:v>
                </c:pt>
                <c:pt idx="38">
                  <c:v>0.38418507105012972</c:v>
                </c:pt>
                <c:pt idx="39">
                  <c:v>0.39428039775422613</c:v>
                </c:pt>
                <c:pt idx="40">
                  <c:v>0.40437572445832248</c:v>
                </c:pt>
                <c:pt idx="41">
                  <c:v>0.41447105116241884</c:v>
                </c:pt>
                <c:pt idx="42">
                  <c:v>0.42456637786651519</c:v>
                </c:pt>
                <c:pt idx="43">
                  <c:v>0.4346617045706116</c:v>
                </c:pt>
                <c:pt idx="44">
                  <c:v>0.44475703127470795</c:v>
                </c:pt>
                <c:pt idx="45">
                  <c:v>0.4548523579788043</c:v>
                </c:pt>
                <c:pt idx="46">
                  <c:v>0.46494768468290076</c:v>
                </c:pt>
                <c:pt idx="47">
                  <c:v>0.47504301138699706</c:v>
                </c:pt>
                <c:pt idx="48">
                  <c:v>0.48513833809109341</c:v>
                </c:pt>
                <c:pt idx="49">
                  <c:v>0.49523366479518982</c:v>
                </c:pt>
                <c:pt idx="50">
                  <c:v>0.50532899149928612</c:v>
                </c:pt>
                <c:pt idx="51">
                  <c:v>0.51542431820338264</c:v>
                </c:pt>
                <c:pt idx="52">
                  <c:v>0.52551964490747893</c:v>
                </c:pt>
                <c:pt idx="53">
                  <c:v>0.53561497161157523</c:v>
                </c:pt>
                <c:pt idx="54">
                  <c:v>0.54571029831566886</c:v>
                </c:pt>
                <c:pt idx="55">
                  <c:v>0.55580562501976527</c:v>
                </c:pt>
                <c:pt idx="56">
                  <c:v>0.56590095172386168</c:v>
                </c:pt>
                <c:pt idx="57">
                  <c:v>0.57599627842795798</c:v>
                </c:pt>
                <c:pt idx="58">
                  <c:v>0.58609160513205427</c:v>
                </c:pt>
                <c:pt idx="59">
                  <c:v>0.59618693183615068</c:v>
                </c:pt>
                <c:pt idx="60">
                  <c:v>0.60628225854024709</c:v>
                </c:pt>
                <c:pt idx="61">
                  <c:v>0.6163775852443435</c:v>
                </c:pt>
                <c:pt idx="62">
                  <c:v>0.62647291194843979</c:v>
                </c:pt>
                <c:pt idx="63">
                  <c:v>0.63656823865253609</c:v>
                </c:pt>
                <c:pt idx="64">
                  <c:v>0.64666356535663261</c:v>
                </c:pt>
                <c:pt idx="65">
                  <c:v>0.6567588920607289</c:v>
                </c:pt>
                <c:pt idx="66">
                  <c:v>0.66685421876482531</c:v>
                </c:pt>
                <c:pt idx="67">
                  <c:v>0.67694954546892172</c:v>
                </c:pt>
                <c:pt idx="68">
                  <c:v>0.68704487217301802</c:v>
                </c:pt>
                <c:pt idx="69">
                  <c:v>0.69714019887711443</c:v>
                </c:pt>
                <c:pt idx="70">
                  <c:v>0.70723552558121083</c:v>
                </c:pt>
                <c:pt idx="71">
                  <c:v>0.71733085228530713</c:v>
                </c:pt>
                <c:pt idx="72">
                  <c:v>0.72742617898940354</c:v>
                </c:pt>
                <c:pt idx="73">
                  <c:v>0.73752150569349717</c:v>
                </c:pt>
                <c:pt idx="74">
                  <c:v>0.74761683239759347</c:v>
                </c:pt>
                <c:pt idx="75">
                  <c:v>0.75771215910168976</c:v>
                </c:pt>
                <c:pt idx="76">
                  <c:v>0.76780748580578617</c:v>
                </c:pt>
                <c:pt idx="77">
                  <c:v>0.77790281250988258</c:v>
                </c:pt>
                <c:pt idx="78">
                  <c:v>0.78799813921397899</c:v>
                </c:pt>
                <c:pt idx="79">
                  <c:v>0.7980934659180754</c:v>
                </c:pt>
                <c:pt idx="80">
                  <c:v>0.80818879262217169</c:v>
                </c:pt>
                <c:pt idx="81">
                  <c:v>0.81828411932626799</c:v>
                </c:pt>
                <c:pt idx="82">
                  <c:v>0.82837944603036451</c:v>
                </c:pt>
                <c:pt idx="83">
                  <c:v>0.8384747727344608</c:v>
                </c:pt>
                <c:pt idx="84">
                  <c:v>0.84857009943855721</c:v>
                </c:pt>
                <c:pt idx="85">
                  <c:v>0.85866542614265351</c:v>
                </c:pt>
                <c:pt idx="86">
                  <c:v>0.86876075284674992</c:v>
                </c:pt>
                <c:pt idx="87">
                  <c:v>0.87885607955084621</c:v>
                </c:pt>
                <c:pt idx="88">
                  <c:v>0.88895140625494273</c:v>
                </c:pt>
                <c:pt idx="89">
                  <c:v>0.89904673295903892</c:v>
                </c:pt>
                <c:pt idx="90">
                  <c:v>0.90914205966313544</c:v>
                </c:pt>
                <c:pt idx="91">
                  <c:v>0.91923738636722885</c:v>
                </c:pt>
                <c:pt idx="92">
                  <c:v>0.92933271307132537</c:v>
                </c:pt>
                <c:pt idx="93">
                  <c:v>0.93942803977542177</c:v>
                </c:pt>
                <c:pt idx="94">
                  <c:v>0.94952336647951807</c:v>
                </c:pt>
                <c:pt idx="95">
                  <c:v>0.95961869318361448</c:v>
                </c:pt>
                <c:pt idx="96">
                  <c:v>0.96971401988771078</c:v>
                </c:pt>
                <c:pt idx="97">
                  <c:v>0.9798093465918073</c:v>
                </c:pt>
                <c:pt idx="98">
                  <c:v>0.9899046732959037</c:v>
                </c:pt>
                <c:pt idx="99">
                  <c:v>1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D-43DF-B2F5-1439ECB964A3}"/>
            </c:ext>
          </c:extLst>
        </c:ser>
        <c:ser>
          <c:idx val="1"/>
          <c:order val="1"/>
          <c:spPr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Sheet1!$P$2:$P$101</c:f>
              <c:numCache>
                <c:formatCode>General</c:formatCode>
                <c:ptCount val="100"/>
                <c:pt idx="0">
                  <c:v>1.0000000000009999</c:v>
                </c:pt>
                <c:pt idx="1">
                  <c:v>0.98989898989998537</c:v>
                </c:pt>
                <c:pt idx="2">
                  <c:v>0.97979797979897065</c:v>
                </c:pt>
                <c:pt idx="3">
                  <c:v>0.96969696969792851</c:v>
                </c:pt>
                <c:pt idx="4">
                  <c:v>0.95959595959691346</c:v>
                </c:pt>
                <c:pt idx="5">
                  <c:v>0.94949494949589908</c:v>
                </c:pt>
                <c:pt idx="6">
                  <c:v>0.93939393939488436</c:v>
                </c:pt>
                <c:pt idx="7">
                  <c:v>0.92929292929386997</c:v>
                </c:pt>
                <c:pt idx="8">
                  <c:v>0.9191919191928275</c:v>
                </c:pt>
                <c:pt idx="9">
                  <c:v>0.90909090909181323</c:v>
                </c:pt>
                <c:pt idx="10">
                  <c:v>0.89898989899079851</c:v>
                </c:pt>
                <c:pt idx="11">
                  <c:v>0.88888888888978412</c:v>
                </c:pt>
                <c:pt idx="12">
                  <c:v>0.87878787878876929</c:v>
                </c:pt>
                <c:pt idx="13">
                  <c:v>0.86868686868772693</c:v>
                </c:pt>
                <c:pt idx="14">
                  <c:v>0.85858585858671221</c:v>
                </c:pt>
                <c:pt idx="15">
                  <c:v>0.84848484848569783</c:v>
                </c:pt>
                <c:pt idx="16">
                  <c:v>0.83838383838468311</c:v>
                </c:pt>
                <c:pt idx="17">
                  <c:v>0.82828282828366873</c:v>
                </c:pt>
                <c:pt idx="18">
                  <c:v>0.81818181818262592</c:v>
                </c:pt>
                <c:pt idx="19">
                  <c:v>0.80808080808161153</c:v>
                </c:pt>
                <c:pt idx="20">
                  <c:v>0.79797979798059682</c:v>
                </c:pt>
                <c:pt idx="21">
                  <c:v>0.78787878787958243</c:v>
                </c:pt>
                <c:pt idx="22">
                  <c:v>0.77777777777856727</c:v>
                </c:pt>
                <c:pt idx="23">
                  <c:v>0.76767676767752524</c:v>
                </c:pt>
                <c:pt idx="24">
                  <c:v>0.75757575757651086</c:v>
                </c:pt>
                <c:pt idx="25">
                  <c:v>0.74747474747549647</c:v>
                </c:pt>
                <c:pt idx="26">
                  <c:v>0.73737373737448142</c:v>
                </c:pt>
                <c:pt idx="27">
                  <c:v>0.72727272727346703</c:v>
                </c:pt>
                <c:pt idx="28">
                  <c:v>0.71717171717242423</c:v>
                </c:pt>
                <c:pt idx="29">
                  <c:v>0.70707070707140984</c:v>
                </c:pt>
                <c:pt idx="30">
                  <c:v>0.69696969697039546</c:v>
                </c:pt>
                <c:pt idx="31">
                  <c:v>0.68686868686938118</c:v>
                </c:pt>
                <c:pt idx="32">
                  <c:v>0.67676767676836602</c:v>
                </c:pt>
                <c:pt idx="33">
                  <c:v>0.66666666666732399</c:v>
                </c:pt>
                <c:pt idx="34">
                  <c:v>0.65656565656630883</c:v>
                </c:pt>
                <c:pt idx="35">
                  <c:v>0.64646464646529456</c:v>
                </c:pt>
                <c:pt idx="36">
                  <c:v>0.63636363636428017</c:v>
                </c:pt>
                <c:pt idx="37">
                  <c:v>0.62626262626326579</c:v>
                </c:pt>
                <c:pt idx="38">
                  <c:v>0.61616161616222298</c:v>
                </c:pt>
                <c:pt idx="39">
                  <c:v>0.6060606060612086</c:v>
                </c:pt>
                <c:pt idx="40">
                  <c:v>0.59595959596019421</c:v>
                </c:pt>
                <c:pt idx="41">
                  <c:v>0.58585858585917983</c:v>
                </c:pt>
                <c:pt idx="42">
                  <c:v>0.57575757575816477</c:v>
                </c:pt>
                <c:pt idx="43">
                  <c:v>0.56565656565712263</c:v>
                </c:pt>
                <c:pt idx="44">
                  <c:v>0.55555555555610758</c:v>
                </c:pt>
                <c:pt idx="45">
                  <c:v>0.5454545454550932</c:v>
                </c:pt>
                <c:pt idx="46">
                  <c:v>0.53535353535407881</c:v>
                </c:pt>
                <c:pt idx="47">
                  <c:v>0.52525252525306443</c:v>
                </c:pt>
                <c:pt idx="48">
                  <c:v>0.51515151515202162</c:v>
                </c:pt>
                <c:pt idx="49">
                  <c:v>0.50505050505100724</c:v>
                </c:pt>
                <c:pt idx="50">
                  <c:v>0.49494949494999219</c:v>
                </c:pt>
                <c:pt idx="51">
                  <c:v>0.4848484848489778</c:v>
                </c:pt>
                <c:pt idx="52">
                  <c:v>0.47474747474793566</c:v>
                </c:pt>
                <c:pt idx="53">
                  <c:v>0.46464646464692061</c:v>
                </c:pt>
                <c:pt idx="54">
                  <c:v>0.45454545454590622</c:v>
                </c:pt>
                <c:pt idx="55">
                  <c:v>0.44444444444489184</c:v>
                </c:pt>
                <c:pt idx="56">
                  <c:v>0.43434343434387679</c:v>
                </c:pt>
                <c:pt idx="57">
                  <c:v>0.42424242424283465</c:v>
                </c:pt>
                <c:pt idx="58">
                  <c:v>0.41414141414182026</c:v>
                </c:pt>
                <c:pt idx="59">
                  <c:v>0.40404040404080599</c:v>
                </c:pt>
                <c:pt idx="60">
                  <c:v>0.39393939393979083</c:v>
                </c:pt>
                <c:pt idx="61">
                  <c:v>0.38383838383877644</c:v>
                </c:pt>
                <c:pt idx="62">
                  <c:v>0.37373737373773441</c:v>
                </c:pt>
                <c:pt idx="63">
                  <c:v>0.36363636363671925</c:v>
                </c:pt>
                <c:pt idx="64">
                  <c:v>0.35353535353570498</c:v>
                </c:pt>
                <c:pt idx="65">
                  <c:v>0.34343434343468981</c:v>
                </c:pt>
                <c:pt idx="66">
                  <c:v>0.33333333333367621</c:v>
                </c:pt>
                <c:pt idx="67">
                  <c:v>0.3232323232326334</c:v>
                </c:pt>
                <c:pt idx="68">
                  <c:v>0.31313131313161902</c:v>
                </c:pt>
                <c:pt idx="69">
                  <c:v>0.30303030303060396</c:v>
                </c:pt>
                <c:pt idx="70">
                  <c:v>0.29292929292958958</c:v>
                </c:pt>
                <c:pt idx="71">
                  <c:v>0.28282828282857442</c:v>
                </c:pt>
                <c:pt idx="72">
                  <c:v>0.27272727272753239</c:v>
                </c:pt>
                <c:pt idx="73">
                  <c:v>0.26262626262651867</c:v>
                </c:pt>
                <c:pt idx="74">
                  <c:v>0.25252525252550362</c:v>
                </c:pt>
                <c:pt idx="75">
                  <c:v>0.24242424242448857</c:v>
                </c:pt>
                <c:pt idx="76">
                  <c:v>0.23232323232347418</c:v>
                </c:pt>
                <c:pt idx="77">
                  <c:v>0.22222222222243204</c:v>
                </c:pt>
                <c:pt idx="78">
                  <c:v>0.21212121212141699</c:v>
                </c:pt>
                <c:pt idx="79">
                  <c:v>0.20202020202040327</c:v>
                </c:pt>
                <c:pt idx="80">
                  <c:v>0.19191919191938822</c:v>
                </c:pt>
                <c:pt idx="81">
                  <c:v>0.18181818181837317</c:v>
                </c:pt>
                <c:pt idx="82">
                  <c:v>0.17171717171733103</c:v>
                </c:pt>
                <c:pt idx="83">
                  <c:v>0.16161616161631664</c:v>
                </c:pt>
                <c:pt idx="84">
                  <c:v>0.15151515151530159</c:v>
                </c:pt>
                <c:pt idx="85">
                  <c:v>0.14141414141428721</c:v>
                </c:pt>
                <c:pt idx="86">
                  <c:v>0.13131313131327282</c:v>
                </c:pt>
                <c:pt idx="87">
                  <c:v>0.12121212121223079</c:v>
                </c:pt>
                <c:pt idx="88">
                  <c:v>0.11111111111121563</c:v>
                </c:pt>
                <c:pt idx="89">
                  <c:v>0.10101010101020136</c:v>
                </c:pt>
                <c:pt idx="90">
                  <c:v>9.0909090909186197E-2</c:v>
                </c:pt>
                <c:pt idx="91">
                  <c:v>8.0808080808171812E-2</c:v>
                </c:pt>
                <c:pt idx="92">
                  <c:v>7.0707070707129005E-2</c:v>
                </c:pt>
                <c:pt idx="93">
                  <c:v>6.0606060606115397E-2</c:v>
                </c:pt>
                <c:pt idx="94">
                  <c:v>5.0505050505100346E-2</c:v>
                </c:pt>
                <c:pt idx="95">
                  <c:v>4.0404040404085961E-2</c:v>
                </c:pt>
                <c:pt idx="96">
                  <c:v>3.0303030303070799E-2</c:v>
                </c:pt>
                <c:pt idx="97">
                  <c:v>2.020202020202877E-2</c:v>
                </c:pt>
                <c:pt idx="98">
                  <c:v>1.0101010101013719E-2</c:v>
                </c:pt>
                <c:pt idx="99">
                  <c:v>0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D-43DF-B2F5-1439ECB964A3}"/>
            </c:ext>
          </c:extLst>
        </c:ser>
        <c:ser>
          <c:idx val="2"/>
          <c:order val="2"/>
          <c:spPr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Sheet1!$T$3:$T$101</c:f>
              <c:numCache>
                <c:formatCode>General</c:formatCode>
                <c:ptCount val="99"/>
                <c:pt idx="0">
                  <c:v>1.01010101015546E-2</c:v>
                </c:pt>
                <c:pt idx="1">
                  <c:v>2.0202020202554252E-2</c:v>
                </c:pt>
                <c:pt idx="2">
                  <c:v>3.0303030303580902E-2</c:v>
                </c:pt>
                <c:pt idx="3">
                  <c:v>4.0404040404580552E-2</c:v>
                </c:pt>
                <c:pt idx="4">
                  <c:v>5.0505050505579491E-2</c:v>
                </c:pt>
                <c:pt idx="5">
                  <c:v>6.0606060606578437E-2</c:v>
                </c:pt>
                <c:pt idx="6">
                  <c:v>7.0707070707577369E-2</c:v>
                </c:pt>
                <c:pt idx="7">
                  <c:v>8.0808080808604743E-2</c:v>
                </c:pt>
                <c:pt idx="8">
                  <c:v>9.0909090909603682E-2</c:v>
                </c:pt>
                <c:pt idx="9">
                  <c:v>0.10101010101060333</c:v>
                </c:pt>
                <c:pt idx="10">
                  <c:v>0.11111111111160227</c:v>
                </c:pt>
                <c:pt idx="11">
                  <c:v>0.12121212121260121</c:v>
                </c:pt>
                <c:pt idx="12">
                  <c:v>0.13131313131362787</c:v>
                </c:pt>
                <c:pt idx="13">
                  <c:v>0.1414141414146268</c:v>
                </c:pt>
                <c:pt idx="14">
                  <c:v>0.15151515151562645</c:v>
                </c:pt>
                <c:pt idx="15">
                  <c:v>0.16161616161662609</c:v>
                </c:pt>
                <c:pt idx="16">
                  <c:v>0.17171717171762504</c:v>
                </c:pt>
                <c:pt idx="17">
                  <c:v>0.18181818181862397</c:v>
                </c:pt>
                <c:pt idx="18">
                  <c:v>0.19191919191965062</c:v>
                </c:pt>
                <c:pt idx="19">
                  <c:v>0.20202020202064958</c:v>
                </c:pt>
                <c:pt idx="20">
                  <c:v>0.21212121212164922</c:v>
                </c:pt>
                <c:pt idx="21">
                  <c:v>0.22222222222264817</c:v>
                </c:pt>
                <c:pt idx="22">
                  <c:v>0.23232323232364782</c:v>
                </c:pt>
                <c:pt idx="23">
                  <c:v>0.24242424242467447</c:v>
                </c:pt>
                <c:pt idx="24">
                  <c:v>0.25252525252567343</c:v>
                </c:pt>
                <c:pt idx="25">
                  <c:v>0.26262626262667232</c:v>
                </c:pt>
                <c:pt idx="26">
                  <c:v>0.272727272727672</c:v>
                </c:pt>
                <c:pt idx="27">
                  <c:v>0.28282828282867095</c:v>
                </c:pt>
                <c:pt idx="28">
                  <c:v>0.29292929292969833</c:v>
                </c:pt>
                <c:pt idx="29">
                  <c:v>0.30303030303069722</c:v>
                </c:pt>
                <c:pt idx="30">
                  <c:v>0.3131313131316969</c:v>
                </c:pt>
                <c:pt idx="31">
                  <c:v>0.32323232323269513</c:v>
                </c:pt>
                <c:pt idx="32">
                  <c:v>0.33333333333369475</c:v>
                </c:pt>
                <c:pt idx="33">
                  <c:v>0.3434343434347214</c:v>
                </c:pt>
                <c:pt idx="34">
                  <c:v>0.35353535353572108</c:v>
                </c:pt>
                <c:pt idx="35">
                  <c:v>0.36363636363672003</c:v>
                </c:pt>
                <c:pt idx="36">
                  <c:v>0.37373737373771965</c:v>
                </c:pt>
                <c:pt idx="37">
                  <c:v>0.38383838383871788</c:v>
                </c:pt>
                <c:pt idx="38">
                  <c:v>0.39393939393974453</c:v>
                </c:pt>
                <c:pt idx="39">
                  <c:v>0.40404040404074421</c:v>
                </c:pt>
                <c:pt idx="40">
                  <c:v>0.41414141414174316</c:v>
                </c:pt>
                <c:pt idx="41">
                  <c:v>0.42424242424274278</c:v>
                </c:pt>
                <c:pt idx="42">
                  <c:v>0.43434343434374245</c:v>
                </c:pt>
                <c:pt idx="43">
                  <c:v>0.44444444444474068</c:v>
                </c:pt>
                <c:pt idx="44">
                  <c:v>0.45454545454576734</c:v>
                </c:pt>
                <c:pt idx="45">
                  <c:v>0.46464646464676695</c:v>
                </c:pt>
                <c:pt idx="46">
                  <c:v>0.47474747474776591</c:v>
                </c:pt>
                <c:pt idx="47">
                  <c:v>0.48484848484876558</c:v>
                </c:pt>
                <c:pt idx="48">
                  <c:v>0.49494949494976448</c:v>
                </c:pt>
                <c:pt idx="49">
                  <c:v>0.50505050505079185</c:v>
                </c:pt>
                <c:pt idx="50">
                  <c:v>0.51515151515179014</c:v>
                </c:pt>
                <c:pt idx="51">
                  <c:v>0.52525252525278976</c:v>
                </c:pt>
                <c:pt idx="52">
                  <c:v>0.53535353535378871</c:v>
                </c:pt>
                <c:pt idx="53">
                  <c:v>0.54545454545478833</c:v>
                </c:pt>
                <c:pt idx="54">
                  <c:v>0.55555555555581504</c:v>
                </c:pt>
                <c:pt idx="55">
                  <c:v>0.56565656565681466</c:v>
                </c:pt>
                <c:pt idx="56">
                  <c:v>0.57575757575781283</c:v>
                </c:pt>
                <c:pt idx="57">
                  <c:v>0.58585858585881256</c:v>
                </c:pt>
                <c:pt idx="58">
                  <c:v>0.59595959595981141</c:v>
                </c:pt>
                <c:pt idx="59">
                  <c:v>0.60606060606083811</c:v>
                </c:pt>
                <c:pt idx="60">
                  <c:v>0.61616161616183773</c:v>
                </c:pt>
                <c:pt idx="61">
                  <c:v>0.62626262626283746</c:v>
                </c:pt>
                <c:pt idx="62">
                  <c:v>0.6363636363638363</c:v>
                </c:pt>
                <c:pt idx="63">
                  <c:v>0.64646464646483526</c:v>
                </c:pt>
                <c:pt idx="64">
                  <c:v>0.65656565656583421</c:v>
                </c:pt>
                <c:pt idx="65">
                  <c:v>0.66666666666686092</c:v>
                </c:pt>
                <c:pt idx="66">
                  <c:v>0.67676767676786054</c:v>
                </c:pt>
                <c:pt idx="67">
                  <c:v>0.68686868686885949</c:v>
                </c:pt>
                <c:pt idx="68">
                  <c:v>0.69696969696985911</c:v>
                </c:pt>
                <c:pt idx="69">
                  <c:v>0.7070707070708574</c:v>
                </c:pt>
                <c:pt idx="70">
                  <c:v>0.71717171717188477</c:v>
                </c:pt>
                <c:pt idx="71">
                  <c:v>0.72727272727288361</c:v>
                </c:pt>
                <c:pt idx="72">
                  <c:v>0.73737373737388334</c:v>
                </c:pt>
                <c:pt idx="73">
                  <c:v>0.7474747474748823</c:v>
                </c:pt>
                <c:pt idx="74">
                  <c:v>0.75757575757588191</c:v>
                </c:pt>
                <c:pt idx="75">
                  <c:v>0.76767676767690851</c:v>
                </c:pt>
                <c:pt idx="76">
                  <c:v>0.77777777777790746</c:v>
                </c:pt>
                <c:pt idx="77">
                  <c:v>0.78787878787890642</c:v>
                </c:pt>
                <c:pt idx="78">
                  <c:v>0.79797979797990604</c:v>
                </c:pt>
                <c:pt idx="79">
                  <c:v>0.80808080808090499</c:v>
                </c:pt>
                <c:pt idx="80">
                  <c:v>0.8181818181819317</c:v>
                </c:pt>
                <c:pt idx="81">
                  <c:v>0.82828282828293132</c:v>
                </c:pt>
                <c:pt idx="82">
                  <c:v>0.8383838383839296</c:v>
                </c:pt>
                <c:pt idx="83">
                  <c:v>0.84848484848492922</c:v>
                </c:pt>
                <c:pt idx="84">
                  <c:v>0.85858585858592884</c:v>
                </c:pt>
                <c:pt idx="85">
                  <c:v>0.86868686868695555</c:v>
                </c:pt>
                <c:pt idx="86">
                  <c:v>0.8787878787879545</c:v>
                </c:pt>
                <c:pt idx="87">
                  <c:v>0.88888888888895412</c:v>
                </c:pt>
                <c:pt idx="88">
                  <c:v>0.89898989898995374</c:v>
                </c:pt>
                <c:pt idx="89">
                  <c:v>0.90909090909095203</c:v>
                </c:pt>
                <c:pt idx="90">
                  <c:v>0.91919191919195087</c:v>
                </c:pt>
                <c:pt idx="91">
                  <c:v>0.92929292929297824</c:v>
                </c:pt>
                <c:pt idx="92">
                  <c:v>0.9393939393939772</c:v>
                </c:pt>
                <c:pt idx="93">
                  <c:v>0.94949494949497693</c:v>
                </c:pt>
                <c:pt idx="94">
                  <c:v>0.95959595959597577</c:v>
                </c:pt>
                <c:pt idx="95">
                  <c:v>0.96969696969697472</c:v>
                </c:pt>
                <c:pt idx="96">
                  <c:v>0.97979797979800143</c:v>
                </c:pt>
                <c:pt idx="97">
                  <c:v>0.98989898989900105</c:v>
                </c:pt>
                <c:pt idx="98">
                  <c:v>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5D-43DF-B2F5-1439ECB964A3}"/>
            </c:ext>
          </c:extLst>
        </c:ser>
        <c:ser>
          <c:idx val="3"/>
          <c:order val="3"/>
          <c:spPr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0.99999999999666678</c:v>
                </c:pt>
                <c:pt idx="1">
                  <c:v>0.98989898989569591</c:v>
                </c:pt>
                <c:pt idx="2">
                  <c:v>0.97979797979472494</c:v>
                </c:pt>
                <c:pt idx="3">
                  <c:v>0.96969696969372565</c:v>
                </c:pt>
                <c:pt idx="4">
                  <c:v>0.95959595959275479</c:v>
                </c:pt>
                <c:pt idx="5">
                  <c:v>0.94949494949178326</c:v>
                </c:pt>
                <c:pt idx="6">
                  <c:v>0.93939393939081228</c:v>
                </c:pt>
                <c:pt idx="7">
                  <c:v>0.92929292928984142</c:v>
                </c:pt>
                <c:pt idx="8">
                  <c:v>0.9191919191888428</c:v>
                </c:pt>
                <c:pt idx="9">
                  <c:v>0.90909090908787127</c:v>
                </c:pt>
                <c:pt idx="10">
                  <c:v>0.8989898989869004</c:v>
                </c:pt>
                <c:pt idx="11">
                  <c:v>0.88888888888592876</c:v>
                </c:pt>
                <c:pt idx="12">
                  <c:v>0.8787878787849579</c:v>
                </c:pt>
                <c:pt idx="13">
                  <c:v>0.86868686868395928</c:v>
                </c:pt>
                <c:pt idx="14">
                  <c:v>0.85858585858298841</c:v>
                </c:pt>
                <c:pt idx="15">
                  <c:v>0.84848484848201755</c:v>
                </c:pt>
                <c:pt idx="16">
                  <c:v>0.83838383838104591</c:v>
                </c:pt>
                <c:pt idx="17">
                  <c:v>0.82828282828007427</c:v>
                </c:pt>
                <c:pt idx="18">
                  <c:v>0.8181818181791034</c:v>
                </c:pt>
                <c:pt idx="19">
                  <c:v>0.80808080807810478</c:v>
                </c:pt>
                <c:pt idx="20">
                  <c:v>0.79797979797713325</c:v>
                </c:pt>
                <c:pt idx="21">
                  <c:v>0.78787878787616306</c:v>
                </c:pt>
                <c:pt idx="22">
                  <c:v>0.77777777777519153</c:v>
                </c:pt>
                <c:pt idx="23">
                  <c:v>0.76767676767422066</c:v>
                </c:pt>
                <c:pt idx="24">
                  <c:v>0.75757575757322126</c:v>
                </c:pt>
                <c:pt idx="25">
                  <c:v>0.7474747474722504</c:v>
                </c:pt>
                <c:pt idx="26">
                  <c:v>0.73737373737127876</c:v>
                </c:pt>
                <c:pt idx="27">
                  <c:v>0.72727272727030867</c:v>
                </c:pt>
                <c:pt idx="28">
                  <c:v>0.71717171716933703</c:v>
                </c:pt>
                <c:pt idx="29">
                  <c:v>0.70707070706833841</c:v>
                </c:pt>
                <c:pt idx="30">
                  <c:v>0.69696969696736688</c:v>
                </c:pt>
                <c:pt idx="31">
                  <c:v>0.68686868686639602</c:v>
                </c:pt>
                <c:pt idx="32">
                  <c:v>0.67676767676542438</c:v>
                </c:pt>
                <c:pt idx="33">
                  <c:v>0.66666666666445429</c:v>
                </c:pt>
                <c:pt idx="34">
                  <c:v>0.65656565656345567</c:v>
                </c:pt>
                <c:pt idx="35">
                  <c:v>0.64646464646248403</c:v>
                </c:pt>
                <c:pt idx="36">
                  <c:v>0.63636363636151239</c:v>
                </c:pt>
                <c:pt idx="37">
                  <c:v>0.62626262626054152</c:v>
                </c:pt>
                <c:pt idx="38">
                  <c:v>0.61616161615956999</c:v>
                </c:pt>
                <c:pt idx="39">
                  <c:v>0.60606060605859979</c:v>
                </c:pt>
                <c:pt idx="40">
                  <c:v>0.59595959595760117</c:v>
                </c:pt>
                <c:pt idx="41">
                  <c:v>0.58585858585662964</c:v>
                </c:pt>
                <c:pt idx="42">
                  <c:v>0.57575757575565878</c:v>
                </c:pt>
                <c:pt idx="43">
                  <c:v>0.56565656565468703</c:v>
                </c:pt>
                <c:pt idx="44">
                  <c:v>0.5555555555537155</c:v>
                </c:pt>
                <c:pt idx="45">
                  <c:v>0.54545454545271688</c:v>
                </c:pt>
                <c:pt idx="46">
                  <c:v>0.53535353535174601</c:v>
                </c:pt>
                <c:pt idx="47">
                  <c:v>0.52525252525077515</c:v>
                </c:pt>
                <c:pt idx="48">
                  <c:v>0.51515151514980428</c:v>
                </c:pt>
                <c:pt idx="49">
                  <c:v>0.50505050504883275</c:v>
                </c:pt>
                <c:pt idx="50">
                  <c:v>0.49494949494783402</c:v>
                </c:pt>
                <c:pt idx="51">
                  <c:v>0.48484848484686249</c:v>
                </c:pt>
                <c:pt idx="52">
                  <c:v>0.47474747474589163</c:v>
                </c:pt>
                <c:pt idx="53">
                  <c:v>0.46464646464492076</c:v>
                </c:pt>
                <c:pt idx="54">
                  <c:v>0.45454545454394979</c:v>
                </c:pt>
                <c:pt idx="55">
                  <c:v>0.44444444444295128</c:v>
                </c:pt>
                <c:pt idx="56">
                  <c:v>0.43434343434197964</c:v>
                </c:pt>
                <c:pt idx="57">
                  <c:v>0.424242424241008</c:v>
                </c:pt>
                <c:pt idx="58">
                  <c:v>0.41414141414003713</c:v>
                </c:pt>
                <c:pt idx="59">
                  <c:v>0.40404040403906627</c:v>
                </c:pt>
                <c:pt idx="60">
                  <c:v>0.39393939393806765</c:v>
                </c:pt>
                <c:pt idx="61">
                  <c:v>0.38383838383709679</c:v>
                </c:pt>
                <c:pt idx="62">
                  <c:v>0.37373737373612526</c:v>
                </c:pt>
                <c:pt idx="63">
                  <c:v>0.36363636363515361</c:v>
                </c:pt>
                <c:pt idx="64">
                  <c:v>0.35353535353418275</c:v>
                </c:pt>
                <c:pt idx="65">
                  <c:v>0.34343434343321255</c:v>
                </c:pt>
                <c:pt idx="66">
                  <c:v>0.33333333333221327</c:v>
                </c:pt>
                <c:pt idx="67">
                  <c:v>0.3232323232312424</c:v>
                </c:pt>
                <c:pt idx="68">
                  <c:v>0.31313131313027076</c:v>
                </c:pt>
                <c:pt idx="69">
                  <c:v>0.3030303030292999</c:v>
                </c:pt>
                <c:pt idx="70">
                  <c:v>0.29292929292832826</c:v>
                </c:pt>
                <c:pt idx="71">
                  <c:v>0.28282828282732975</c:v>
                </c:pt>
                <c:pt idx="72">
                  <c:v>0.27272727272635811</c:v>
                </c:pt>
                <c:pt idx="73">
                  <c:v>0.26262626262538791</c:v>
                </c:pt>
                <c:pt idx="74">
                  <c:v>0.25252525252441638</c:v>
                </c:pt>
                <c:pt idx="75">
                  <c:v>0.2424242424234454</c:v>
                </c:pt>
                <c:pt idx="76">
                  <c:v>0.23232323232244612</c:v>
                </c:pt>
                <c:pt idx="77">
                  <c:v>0.22222222222147525</c:v>
                </c:pt>
                <c:pt idx="78">
                  <c:v>0.21212121212050372</c:v>
                </c:pt>
                <c:pt idx="79">
                  <c:v>0.20202020201953352</c:v>
                </c:pt>
                <c:pt idx="80">
                  <c:v>0.19191919191856188</c:v>
                </c:pt>
                <c:pt idx="81">
                  <c:v>0.18181818181756326</c:v>
                </c:pt>
                <c:pt idx="82">
                  <c:v>0.1717171717165924</c:v>
                </c:pt>
                <c:pt idx="83">
                  <c:v>0.16161616161562087</c:v>
                </c:pt>
                <c:pt idx="84">
                  <c:v>0.15151515151464923</c:v>
                </c:pt>
                <c:pt idx="85">
                  <c:v>0.14141414141367903</c:v>
                </c:pt>
                <c:pt idx="86">
                  <c:v>0.13131313131268052</c:v>
                </c:pt>
                <c:pt idx="87">
                  <c:v>0.12121212121170888</c:v>
                </c:pt>
                <c:pt idx="88">
                  <c:v>0.11111111111073801</c:v>
                </c:pt>
                <c:pt idx="89">
                  <c:v>0.10101010100976637</c:v>
                </c:pt>
                <c:pt idx="90">
                  <c:v>9.0909090908795509E-2</c:v>
                </c:pt>
                <c:pt idx="91">
                  <c:v>8.0808080807824645E-2</c:v>
                </c:pt>
                <c:pt idx="92">
                  <c:v>7.0707070706826025E-2</c:v>
                </c:pt>
                <c:pt idx="93">
                  <c:v>6.0606060605854384E-2</c:v>
                </c:pt>
                <c:pt idx="94">
                  <c:v>5.050505050488352E-2</c:v>
                </c:pt>
                <c:pt idx="95">
                  <c:v>4.0404040403911989E-2</c:v>
                </c:pt>
                <c:pt idx="96">
                  <c:v>3.0303030302941125E-2</c:v>
                </c:pt>
                <c:pt idx="97">
                  <c:v>2.0202020201941728E-2</c:v>
                </c:pt>
                <c:pt idx="98">
                  <c:v>1.0101010100970864E-2</c:v>
                </c:pt>
                <c:pt idx="99">
                  <c:v>0</c:v>
                </c:pt>
              </c:numCache>
            </c:numRef>
          </c:xVal>
          <c:yVal>
            <c:numRef>
              <c:f>Sheet1!$Y$2:$Y$101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5D-43DF-B2F5-1439ECB964A3}"/>
            </c:ext>
          </c:extLst>
        </c:ser>
        <c:ser>
          <c:idx val="4"/>
          <c:order val="4"/>
          <c:spPr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Sheet1!$AB$2:$AB$101</c:f>
              <c:numCache>
                <c:formatCode>General</c:formatCode>
                <c:ptCount val="100"/>
                <c:pt idx="0">
                  <c:v>-2.9168589615279391E-12</c:v>
                </c:pt>
                <c:pt idx="1">
                  <c:v>1.0101010098117869E-2</c:v>
                </c:pt>
                <c:pt idx="2">
                  <c:v>2.0202020199151884E-2</c:v>
                </c:pt>
                <c:pt idx="3">
                  <c:v>3.0303030300213613E-2</c:v>
                </c:pt>
                <c:pt idx="4">
                  <c:v>4.0404040401248335E-2</c:v>
                </c:pt>
                <c:pt idx="5">
                  <c:v>5.0505050502281643E-2</c:v>
                </c:pt>
                <c:pt idx="6">
                  <c:v>6.0606060603316372E-2</c:v>
                </c:pt>
                <c:pt idx="7">
                  <c:v>7.0707070704351102E-2</c:v>
                </c:pt>
                <c:pt idx="8">
                  <c:v>8.0808080805412824E-2</c:v>
                </c:pt>
                <c:pt idx="9">
                  <c:v>9.0909090906446846E-2</c:v>
                </c:pt>
                <c:pt idx="10">
                  <c:v>0.10101010100748156</c:v>
                </c:pt>
                <c:pt idx="11">
                  <c:v>0.11111111110851488</c:v>
                </c:pt>
                <c:pt idx="12">
                  <c:v>0.12121212120954961</c:v>
                </c:pt>
                <c:pt idx="13">
                  <c:v>0.13131313131061134</c:v>
                </c:pt>
                <c:pt idx="14">
                  <c:v>0.14141414141164604</c:v>
                </c:pt>
                <c:pt idx="15">
                  <c:v>0.15151515151268008</c:v>
                </c:pt>
                <c:pt idx="16">
                  <c:v>0.16161616161371481</c:v>
                </c:pt>
                <c:pt idx="17">
                  <c:v>0.17171717171474882</c:v>
                </c:pt>
                <c:pt idx="18">
                  <c:v>0.18181818181578283</c:v>
                </c:pt>
                <c:pt idx="19">
                  <c:v>0.19191919191684456</c:v>
                </c:pt>
                <c:pt idx="20">
                  <c:v>0.20202020201787929</c:v>
                </c:pt>
                <c:pt idx="21">
                  <c:v>0.2121212121189133</c:v>
                </c:pt>
                <c:pt idx="22">
                  <c:v>0.22222222221994803</c:v>
                </c:pt>
                <c:pt idx="23">
                  <c:v>0.23232323232098204</c:v>
                </c:pt>
                <c:pt idx="24">
                  <c:v>0.24242424242204449</c:v>
                </c:pt>
                <c:pt idx="25">
                  <c:v>0.25252525252307778</c:v>
                </c:pt>
                <c:pt idx="26">
                  <c:v>0.26262626262411254</c:v>
                </c:pt>
                <c:pt idx="27">
                  <c:v>0.27272727272514652</c:v>
                </c:pt>
                <c:pt idx="28">
                  <c:v>0.28282828282618128</c:v>
                </c:pt>
                <c:pt idx="29">
                  <c:v>0.29292929292724301</c:v>
                </c:pt>
                <c:pt idx="30">
                  <c:v>0.30303030302827699</c:v>
                </c:pt>
                <c:pt idx="31">
                  <c:v>0.31313131312931103</c:v>
                </c:pt>
                <c:pt idx="32">
                  <c:v>0.32323232323034501</c:v>
                </c:pt>
                <c:pt idx="33">
                  <c:v>0.33333333333137977</c:v>
                </c:pt>
                <c:pt idx="34">
                  <c:v>0.3434343434324415</c:v>
                </c:pt>
                <c:pt idx="35">
                  <c:v>0.3535353535334762</c:v>
                </c:pt>
                <c:pt idx="36">
                  <c:v>0.36363636363451024</c:v>
                </c:pt>
                <c:pt idx="37">
                  <c:v>0.37373737373554422</c:v>
                </c:pt>
                <c:pt idx="38">
                  <c:v>0.38383838383657826</c:v>
                </c:pt>
                <c:pt idx="39">
                  <c:v>0.39393939393764071</c:v>
                </c:pt>
                <c:pt idx="40">
                  <c:v>0.40404040403867469</c:v>
                </c:pt>
                <c:pt idx="41">
                  <c:v>0.41414141413970873</c:v>
                </c:pt>
                <c:pt idx="42">
                  <c:v>0.42424242424074415</c:v>
                </c:pt>
                <c:pt idx="43">
                  <c:v>0.43434343434177819</c:v>
                </c:pt>
                <c:pt idx="44">
                  <c:v>0.44444444444281223</c:v>
                </c:pt>
                <c:pt idx="45">
                  <c:v>0.45454545454387324</c:v>
                </c:pt>
                <c:pt idx="46">
                  <c:v>0.46464646464490866</c:v>
                </c:pt>
                <c:pt idx="47">
                  <c:v>0.4747474747459427</c:v>
                </c:pt>
                <c:pt idx="48">
                  <c:v>0.48484848484697668</c:v>
                </c:pt>
                <c:pt idx="49">
                  <c:v>0.49494949494801072</c:v>
                </c:pt>
                <c:pt idx="50">
                  <c:v>0.50505050504907312</c:v>
                </c:pt>
                <c:pt idx="51">
                  <c:v>0.51515151515010715</c:v>
                </c:pt>
                <c:pt idx="52">
                  <c:v>0.52525252525114119</c:v>
                </c:pt>
                <c:pt idx="53">
                  <c:v>0.53535353535217522</c:v>
                </c:pt>
                <c:pt idx="54">
                  <c:v>0.54545454545321059</c:v>
                </c:pt>
                <c:pt idx="55">
                  <c:v>0.55555555555427161</c:v>
                </c:pt>
                <c:pt idx="56">
                  <c:v>0.56565656565530564</c:v>
                </c:pt>
                <c:pt idx="57">
                  <c:v>0.57575757575633968</c:v>
                </c:pt>
                <c:pt idx="58">
                  <c:v>0.58585858585737371</c:v>
                </c:pt>
                <c:pt idx="59">
                  <c:v>0.59595959595840908</c:v>
                </c:pt>
                <c:pt idx="60">
                  <c:v>0.6060606060594701</c:v>
                </c:pt>
                <c:pt idx="61">
                  <c:v>0.61616161616050558</c:v>
                </c:pt>
                <c:pt idx="62">
                  <c:v>0.62626262626153961</c:v>
                </c:pt>
                <c:pt idx="63">
                  <c:v>0.63636363636257365</c:v>
                </c:pt>
                <c:pt idx="64">
                  <c:v>0.64646464646360768</c:v>
                </c:pt>
                <c:pt idx="65">
                  <c:v>0.65656565656464161</c:v>
                </c:pt>
                <c:pt idx="66">
                  <c:v>0.66666666666570407</c:v>
                </c:pt>
                <c:pt idx="67">
                  <c:v>0.6767676767667381</c:v>
                </c:pt>
                <c:pt idx="68">
                  <c:v>0.68686868686777214</c:v>
                </c:pt>
                <c:pt idx="69">
                  <c:v>0.69696969696880751</c:v>
                </c:pt>
                <c:pt idx="70">
                  <c:v>0.70707070706984021</c:v>
                </c:pt>
                <c:pt idx="71">
                  <c:v>0.71717171717090256</c:v>
                </c:pt>
                <c:pt idx="72">
                  <c:v>0.72727272727193659</c:v>
                </c:pt>
                <c:pt idx="73">
                  <c:v>0.73737373737297207</c:v>
                </c:pt>
                <c:pt idx="74">
                  <c:v>0.74747474747400611</c:v>
                </c:pt>
                <c:pt idx="75">
                  <c:v>0.75757575757504003</c:v>
                </c:pt>
                <c:pt idx="76">
                  <c:v>0.76767676767610249</c:v>
                </c:pt>
                <c:pt idx="77">
                  <c:v>0.77777777777713508</c:v>
                </c:pt>
                <c:pt idx="78">
                  <c:v>0.78787878787817056</c:v>
                </c:pt>
                <c:pt idx="79">
                  <c:v>0.7979797979792046</c:v>
                </c:pt>
                <c:pt idx="80">
                  <c:v>0.80808080808023863</c:v>
                </c:pt>
                <c:pt idx="81">
                  <c:v>0.81818181818130098</c:v>
                </c:pt>
                <c:pt idx="82">
                  <c:v>0.82828282828233502</c:v>
                </c:pt>
                <c:pt idx="83">
                  <c:v>0.83838383838336905</c:v>
                </c:pt>
                <c:pt idx="84">
                  <c:v>0.84848484848440309</c:v>
                </c:pt>
                <c:pt idx="85">
                  <c:v>0.85858585858543712</c:v>
                </c:pt>
                <c:pt idx="86">
                  <c:v>0.86868686868649947</c:v>
                </c:pt>
                <c:pt idx="87">
                  <c:v>0.87878787878753351</c:v>
                </c:pt>
                <c:pt idx="88">
                  <c:v>0.88888888888856898</c:v>
                </c:pt>
                <c:pt idx="89">
                  <c:v>0.89898989898960158</c:v>
                </c:pt>
                <c:pt idx="90">
                  <c:v>0.90909090909063706</c:v>
                </c:pt>
                <c:pt idx="91">
                  <c:v>0.91919191919167098</c:v>
                </c:pt>
                <c:pt idx="92">
                  <c:v>0.92929292929273344</c:v>
                </c:pt>
                <c:pt idx="93">
                  <c:v>0.93939393939376747</c:v>
                </c:pt>
                <c:pt idx="94">
                  <c:v>0.94949494949480151</c:v>
                </c:pt>
                <c:pt idx="95">
                  <c:v>0.95959595959583555</c:v>
                </c:pt>
                <c:pt idx="96">
                  <c:v>0.96969696969686958</c:v>
                </c:pt>
                <c:pt idx="97">
                  <c:v>0.97979797979793193</c:v>
                </c:pt>
                <c:pt idx="98">
                  <c:v>0.98989898989896596</c:v>
                </c:pt>
                <c:pt idx="99">
                  <c:v>1</c:v>
                </c:pt>
              </c:numCache>
            </c:numRef>
          </c:xVal>
          <c:yVal>
            <c:numRef>
              <c:f>Sheet1!$AC$2:$AC$101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5D-43DF-B2F5-1439ECB964A3}"/>
            </c:ext>
          </c:extLst>
        </c:ser>
        <c:ser>
          <c:idx val="5"/>
          <c:order val="5"/>
          <c:spPr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Sheet1!$AF$2:$AF$101</c:f>
              <c:numCache>
                <c:formatCode>General</c:formatCode>
                <c:ptCount val="100"/>
                <c:pt idx="0">
                  <c:v>1.0000000000023619</c:v>
                </c:pt>
                <c:pt idx="1">
                  <c:v>0.98989898990133207</c:v>
                </c:pt>
                <c:pt idx="2">
                  <c:v>0.9797979798003037</c:v>
                </c:pt>
                <c:pt idx="3">
                  <c:v>0.9696969696992469</c:v>
                </c:pt>
                <c:pt idx="4">
                  <c:v>0.95959595959821853</c:v>
                </c:pt>
                <c:pt idx="5">
                  <c:v>0.94949494949719015</c:v>
                </c:pt>
                <c:pt idx="6">
                  <c:v>0.93939393939616178</c:v>
                </c:pt>
                <c:pt idx="7">
                  <c:v>0.9292929292951333</c:v>
                </c:pt>
                <c:pt idx="8">
                  <c:v>0.9191919191940765</c:v>
                </c:pt>
                <c:pt idx="9">
                  <c:v>0.90909090909304813</c:v>
                </c:pt>
                <c:pt idx="10">
                  <c:v>0.89898989899201975</c:v>
                </c:pt>
                <c:pt idx="11">
                  <c:v>0.88888888889098994</c:v>
                </c:pt>
                <c:pt idx="12">
                  <c:v>0.87878787878996156</c:v>
                </c:pt>
                <c:pt idx="13">
                  <c:v>0.86868686868890477</c:v>
                </c:pt>
                <c:pt idx="14">
                  <c:v>0.85858585858787784</c:v>
                </c:pt>
                <c:pt idx="15">
                  <c:v>0.84848484848684791</c:v>
                </c:pt>
                <c:pt idx="16">
                  <c:v>0.83838383838581954</c:v>
                </c:pt>
                <c:pt idx="17">
                  <c:v>0.82828282828479116</c:v>
                </c:pt>
                <c:pt idx="18">
                  <c:v>0.81818181818376279</c:v>
                </c:pt>
                <c:pt idx="19">
                  <c:v>0.80808080808270599</c:v>
                </c:pt>
                <c:pt idx="20">
                  <c:v>0.79797979798167762</c:v>
                </c:pt>
                <c:pt idx="21">
                  <c:v>0.78787878788064925</c:v>
                </c:pt>
                <c:pt idx="22">
                  <c:v>0.77777777777962087</c:v>
                </c:pt>
                <c:pt idx="23">
                  <c:v>0.76767676767859094</c:v>
                </c:pt>
                <c:pt idx="24">
                  <c:v>0.75757575757753559</c:v>
                </c:pt>
                <c:pt idx="25">
                  <c:v>0.74747474747650722</c:v>
                </c:pt>
                <c:pt idx="26">
                  <c:v>0.73737373737547884</c:v>
                </c:pt>
                <c:pt idx="27">
                  <c:v>0.72727272727445047</c:v>
                </c:pt>
                <c:pt idx="28">
                  <c:v>0.71717171717342065</c:v>
                </c:pt>
                <c:pt idx="29">
                  <c:v>0.70707070707236519</c:v>
                </c:pt>
                <c:pt idx="30">
                  <c:v>0.69696969697133682</c:v>
                </c:pt>
                <c:pt idx="31">
                  <c:v>0.68686868687030711</c:v>
                </c:pt>
                <c:pt idx="32">
                  <c:v>0.67676767676927874</c:v>
                </c:pt>
                <c:pt idx="33">
                  <c:v>0.66666666666825025</c:v>
                </c:pt>
                <c:pt idx="34">
                  <c:v>0.65656565656719346</c:v>
                </c:pt>
                <c:pt idx="35">
                  <c:v>0.64646464646616508</c:v>
                </c:pt>
                <c:pt idx="36">
                  <c:v>0.63636363636513671</c:v>
                </c:pt>
                <c:pt idx="37">
                  <c:v>0.62626262626410822</c:v>
                </c:pt>
                <c:pt idx="38">
                  <c:v>0.61616161616307852</c:v>
                </c:pt>
                <c:pt idx="39">
                  <c:v>0.60606060606205148</c:v>
                </c:pt>
                <c:pt idx="40">
                  <c:v>0.59595959596099335</c:v>
                </c:pt>
                <c:pt idx="41">
                  <c:v>0.58585858585996631</c:v>
                </c:pt>
                <c:pt idx="42">
                  <c:v>0.57575757575893649</c:v>
                </c:pt>
                <c:pt idx="43">
                  <c:v>0.56565656565790812</c:v>
                </c:pt>
                <c:pt idx="44">
                  <c:v>0.55555555555687974</c:v>
                </c:pt>
                <c:pt idx="45">
                  <c:v>0.54545454545582284</c:v>
                </c:pt>
                <c:pt idx="46">
                  <c:v>0.53535353535479602</c:v>
                </c:pt>
                <c:pt idx="47">
                  <c:v>0.52525252525376609</c:v>
                </c:pt>
                <c:pt idx="48">
                  <c:v>0.51515151515273772</c:v>
                </c:pt>
                <c:pt idx="49">
                  <c:v>0.50505050505170934</c:v>
                </c:pt>
                <c:pt idx="50">
                  <c:v>0.49494949495065255</c:v>
                </c:pt>
                <c:pt idx="51">
                  <c:v>0.48484848484962417</c:v>
                </c:pt>
                <c:pt idx="52">
                  <c:v>0.4747474747485958</c:v>
                </c:pt>
                <c:pt idx="53">
                  <c:v>0.46464646464756743</c:v>
                </c:pt>
                <c:pt idx="54">
                  <c:v>0.45454545454653761</c:v>
                </c:pt>
                <c:pt idx="55">
                  <c:v>0.44444444444548215</c:v>
                </c:pt>
                <c:pt idx="56">
                  <c:v>0.43434343434445377</c:v>
                </c:pt>
                <c:pt idx="57">
                  <c:v>0.42424242424342395</c:v>
                </c:pt>
                <c:pt idx="58">
                  <c:v>0.41414141414239702</c:v>
                </c:pt>
                <c:pt idx="59">
                  <c:v>0.40404040404136721</c:v>
                </c:pt>
                <c:pt idx="60">
                  <c:v>0.39393939394031185</c:v>
                </c:pt>
                <c:pt idx="61">
                  <c:v>0.38383838383928204</c:v>
                </c:pt>
                <c:pt idx="62">
                  <c:v>0.37373737373825366</c:v>
                </c:pt>
                <c:pt idx="63">
                  <c:v>0.36363636363722662</c:v>
                </c:pt>
                <c:pt idx="64">
                  <c:v>0.35353535353619681</c:v>
                </c:pt>
                <c:pt idx="65">
                  <c:v>0.34343434343516843</c:v>
                </c:pt>
                <c:pt idx="66">
                  <c:v>0.33333333333411164</c:v>
                </c:pt>
                <c:pt idx="67">
                  <c:v>0.32323232323308326</c:v>
                </c:pt>
                <c:pt idx="68">
                  <c:v>0.31313131313205489</c:v>
                </c:pt>
                <c:pt idx="69">
                  <c:v>0.30303030303102507</c:v>
                </c:pt>
                <c:pt idx="70">
                  <c:v>0.29292929292999803</c:v>
                </c:pt>
                <c:pt idx="71">
                  <c:v>0.28282828282894124</c:v>
                </c:pt>
                <c:pt idx="72">
                  <c:v>0.27272727272791286</c:v>
                </c:pt>
                <c:pt idx="73">
                  <c:v>0.26262626262688304</c:v>
                </c:pt>
                <c:pt idx="74">
                  <c:v>0.25252525252585467</c:v>
                </c:pt>
                <c:pt idx="75">
                  <c:v>0.24242424242482774</c:v>
                </c:pt>
                <c:pt idx="76">
                  <c:v>0.2323232323237695</c:v>
                </c:pt>
                <c:pt idx="77">
                  <c:v>0.22222222222274246</c:v>
                </c:pt>
                <c:pt idx="78">
                  <c:v>0.21212121212171275</c:v>
                </c:pt>
                <c:pt idx="79">
                  <c:v>0.20202020202068427</c:v>
                </c:pt>
                <c:pt idx="80">
                  <c:v>0.19191919191965445</c:v>
                </c:pt>
                <c:pt idx="81">
                  <c:v>0.1818181818185991</c:v>
                </c:pt>
                <c:pt idx="82">
                  <c:v>0.17171717171757217</c:v>
                </c:pt>
                <c:pt idx="83">
                  <c:v>0.16161616161654235</c:v>
                </c:pt>
                <c:pt idx="84">
                  <c:v>0.15151515151551398</c:v>
                </c:pt>
                <c:pt idx="85">
                  <c:v>0.14141414141448416</c:v>
                </c:pt>
                <c:pt idx="86">
                  <c:v>0.1313131313134287</c:v>
                </c:pt>
                <c:pt idx="87">
                  <c:v>0.12121212121239888</c:v>
                </c:pt>
                <c:pt idx="88">
                  <c:v>0.11111111111137195</c:v>
                </c:pt>
                <c:pt idx="89">
                  <c:v>0.10101010101034358</c:v>
                </c:pt>
                <c:pt idx="90">
                  <c:v>9.0909090909313761E-2</c:v>
                </c:pt>
                <c:pt idx="91">
                  <c:v>8.0808080808285387E-2</c:v>
                </c:pt>
                <c:pt idx="92">
                  <c:v>7.0707070707228592E-2</c:v>
                </c:pt>
                <c:pt idx="93">
                  <c:v>6.0606060606200218E-2</c:v>
                </c:pt>
                <c:pt idx="94">
                  <c:v>5.0505050505173177E-2</c:v>
                </c:pt>
                <c:pt idx="95">
                  <c:v>4.040404040414336E-2</c:v>
                </c:pt>
                <c:pt idx="96">
                  <c:v>3.0303030303114986E-2</c:v>
                </c:pt>
                <c:pt idx="97">
                  <c:v>2.0202020202058191E-2</c:v>
                </c:pt>
                <c:pt idx="98">
                  <c:v>1.0101010101029817E-2</c:v>
                </c:pt>
                <c:pt idx="99">
                  <c:v>0</c:v>
                </c:pt>
              </c:numCache>
            </c:numRef>
          </c:xVal>
          <c:yVal>
            <c:numRef>
              <c:f>Sheet1!$AG$2:$AG$101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5D-43DF-B2F5-1439ECB964A3}"/>
            </c:ext>
          </c:extLst>
        </c:ser>
        <c:ser>
          <c:idx val="6"/>
          <c:order val="6"/>
          <c:spPr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Sheet1!$AJ$2:$AJ$101</c:f>
              <c:numCache>
                <c:formatCode>General</c:formatCode>
                <c:ptCount val="100"/>
                <c:pt idx="0">
                  <c:v>-8.3277922117018827E-13</c:v>
                </c:pt>
                <c:pt idx="1">
                  <c:v>1.0101010100180193E-2</c:v>
                </c:pt>
                <c:pt idx="2">
                  <c:v>2.0202020201193164E-2</c:v>
                </c:pt>
                <c:pt idx="3">
                  <c:v>3.0303030302233139E-2</c:v>
                </c:pt>
                <c:pt idx="4">
                  <c:v>4.0404040403247528E-2</c:v>
                </c:pt>
                <c:pt idx="5">
                  <c:v>5.0505050504260504E-2</c:v>
                </c:pt>
                <c:pt idx="6">
                  <c:v>6.0606060605274896E-2</c:v>
                </c:pt>
                <c:pt idx="7">
                  <c:v>7.0707070706286443E-2</c:v>
                </c:pt>
                <c:pt idx="8">
                  <c:v>8.0808080807327848E-2</c:v>
                </c:pt>
                <c:pt idx="9">
                  <c:v>9.0909090908340817E-2</c:v>
                </c:pt>
                <c:pt idx="10">
                  <c:v>0.10101010100935379</c:v>
                </c:pt>
                <c:pt idx="11">
                  <c:v>0.11111111111036819</c:v>
                </c:pt>
                <c:pt idx="12">
                  <c:v>0.12121212121137973</c:v>
                </c:pt>
                <c:pt idx="13">
                  <c:v>0.13131313131242253</c:v>
                </c:pt>
                <c:pt idx="14">
                  <c:v>0.14141414141343409</c:v>
                </c:pt>
                <c:pt idx="15">
                  <c:v>0.15151515151444706</c:v>
                </c:pt>
                <c:pt idx="16">
                  <c:v>0.16161616161546147</c:v>
                </c:pt>
                <c:pt idx="17">
                  <c:v>0.17171717171647444</c:v>
                </c:pt>
                <c:pt idx="18">
                  <c:v>0.18181818181748741</c:v>
                </c:pt>
                <c:pt idx="19">
                  <c:v>0.1919191919185288</c:v>
                </c:pt>
                <c:pt idx="20">
                  <c:v>0.20202020201954177</c:v>
                </c:pt>
                <c:pt idx="21">
                  <c:v>0.21212121212055474</c:v>
                </c:pt>
                <c:pt idx="22">
                  <c:v>0.22222222222156771</c:v>
                </c:pt>
                <c:pt idx="23">
                  <c:v>0.23232323232258212</c:v>
                </c:pt>
                <c:pt idx="24">
                  <c:v>0.24242424242362209</c:v>
                </c:pt>
                <c:pt idx="25">
                  <c:v>0.25252525252463648</c:v>
                </c:pt>
                <c:pt idx="26">
                  <c:v>0.26262626262564803</c:v>
                </c:pt>
                <c:pt idx="27">
                  <c:v>0.27272727272666097</c:v>
                </c:pt>
                <c:pt idx="28">
                  <c:v>0.28282828282767541</c:v>
                </c:pt>
                <c:pt idx="29">
                  <c:v>0.29292929292871539</c:v>
                </c:pt>
                <c:pt idx="30">
                  <c:v>0.30303030302972978</c:v>
                </c:pt>
                <c:pt idx="31">
                  <c:v>0.31313131313074133</c:v>
                </c:pt>
                <c:pt idx="32">
                  <c:v>0.32323232323175571</c:v>
                </c:pt>
                <c:pt idx="33">
                  <c:v>0.33333333333276866</c:v>
                </c:pt>
                <c:pt idx="34">
                  <c:v>0.34343434343381007</c:v>
                </c:pt>
                <c:pt idx="35">
                  <c:v>0.35353535353482302</c:v>
                </c:pt>
                <c:pt idx="36">
                  <c:v>0.36363636363583601</c:v>
                </c:pt>
                <c:pt idx="37">
                  <c:v>0.37373737373684901</c:v>
                </c:pt>
                <c:pt idx="38">
                  <c:v>0.38383838383786195</c:v>
                </c:pt>
                <c:pt idx="39">
                  <c:v>0.39393939393890337</c:v>
                </c:pt>
                <c:pt idx="40">
                  <c:v>0.40404040403991631</c:v>
                </c:pt>
                <c:pt idx="41">
                  <c:v>0.41414141414092931</c:v>
                </c:pt>
                <c:pt idx="42">
                  <c:v>0.42424242424194369</c:v>
                </c:pt>
                <c:pt idx="43">
                  <c:v>0.43434343434295525</c:v>
                </c:pt>
                <c:pt idx="44">
                  <c:v>0.44444444444396963</c:v>
                </c:pt>
                <c:pt idx="45">
                  <c:v>0.45454545454500961</c:v>
                </c:pt>
                <c:pt idx="46">
                  <c:v>0.46464646464602399</c:v>
                </c:pt>
                <c:pt idx="47">
                  <c:v>0.47474747474703699</c:v>
                </c:pt>
                <c:pt idx="48">
                  <c:v>0.48484848484804854</c:v>
                </c:pt>
                <c:pt idx="49">
                  <c:v>0.49494949494906293</c:v>
                </c:pt>
                <c:pt idx="50">
                  <c:v>0.50505050505010285</c:v>
                </c:pt>
                <c:pt idx="51">
                  <c:v>0.51515151515111723</c:v>
                </c:pt>
                <c:pt idx="52">
                  <c:v>0.52525252525213029</c:v>
                </c:pt>
                <c:pt idx="53">
                  <c:v>0.53535353535314323</c:v>
                </c:pt>
                <c:pt idx="54">
                  <c:v>0.54545454545415761</c:v>
                </c:pt>
                <c:pt idx="55">
                  <c:v>0.55555555555519764</c:v>
                </c:pt>
                <c:pt idx="56">
                  <c:v>0.56565656565621059</c:v>
                </c:pt>
                <c:pt idx="57">
                  <c:v>0.57575757575722353</c:v>
                </c:pt>
                <c:pt idx="58">
                  <c:v>0.58585858585823791</c:v>
                </c:pt>
                <c:pt idx="59">
                  <c:v>0.59595959595925085</c:v>
                </c:pt>
                <c:pt idx="60">
                  <c:v>0.60606060606029233</c:v>
                </c:pt>
                <c:pt idx="61">
                  <c:v>0.61616161616130527</c:v>
                </c:pt>
                <c:pt idx="62">
                  <c:v>0.62626262626231677</c:v>
                </c:pt>
                <c:pt idx="63">
                  <c:v>0.63636363636333126</c:v>
                </c:pt>
                <c:pt idx="64">
                  <c:v>0.64646464646434421</c:v>
                </c:pt>
                <c:pt idx="65">
                  <c:v>0.65656565656538557</c:v>
                </c:pt>
                <c:pt idx="66">
                  <c:v>0.66666666666639851</c:v>
                </c:pt>
                <c:pt idx="67">
                  <c:v>0.67676767676741012</c:v>
                </c:pt>
                <c:pt idx="68">
                  <c:v>0.68686868686842451</c:v>
                </c:pt>
                <c:pt idx="69">
                  <c:v>0.69696969696943745</c:v>
                </c:pt>
                <c:pt idx="70">
                  <c:v>0.70707070707045183</c:v>
                </c:pt>
                <c:pt idx="71">
                  <c:v>0.71717171717149186</c:v>
                </c:pt>
                <c:pt idx="72">
                  <c:v>0.72727272727250625</c:v>
                </c:pt>
                <c:pt idx="73">
                  <c:v>0.73737373737351919</c:v>
                </c:pt>
                <c:pt idx="74">
                  <c:v>0.7474747474745308</c:v>
                </c:pt>
                <c:pt idx="75">
                  <c:v>0.75757575757554518</c:v>
                </c:pt>
                <c:pt idx="76">
                  <c:v>0.7676767676765851</c:v>
                </c:pt>
                <c:pt idx="77">
                  <c:v>0.77777777777759949</c:v>
                </c:pt>
                <c:pt idx="78">
                  <c:v>0.78787878787861243</c:v>
                </c:pt>
                <c:pt idx="79">
                  <c:v>0.79797979797962404</c:v>
                </c:pt>
                <c:pt idx="80">
                  <c:v>0.80808080808063842</c:v>
                </c:pt>
                <c:pt idx="81">
                  <c:v>0.81818181818167834</c:v>
                </c:pt>
                <c:pt idx="82">
                  <c:v>0.82828282828269284</c:v>
                </c:pt>
                <c:pt idx="83">
                  <c:v>0.83838383838370578</c:v>
                </c:pt>
                <c:pt idx="84">
                  <c:v>0.84848484848472017</c:v>
                </c:pt>
                <c:pt idx="85">
                  <c:v>0.85858585858573166</c:v>
                </c:pt>
                <c:pt idx="86">
                  <c:v>0.86868686868677447</c:v>
                </c:pt>
                <c:pt idx="87">
                  <c:v>0.87878787878778608</c:v>
                </c:pt>
                <c:pt idx="88">
                  <c:v>0.88888888888879902</c:v>
                </c:pt>
                <c:pt idx="89">
                  <c:v>0.89898989898981341</c:v>
                </c:pt>
                <c:pt idx="90">
                  <c:v>0.90909090909082646</c:v>
                </c:pt>
                <c:pt idx="91">
                  <c:v>0.91919191919186782</c:v>
                </c:pt>
                <c:pt idx="92">
                  <c:v>0.92929292929287932</c:v>
                </c:pt>
                <c:pt idx="93">
                  <c:v>0.93939393939389237</c:v>
                </c:pt>
                <c:pt idx="94">
                  <c:v>0.94949494949490676</c:v>
                </c:pt>
                <c:pt idx="95">
                  <c:v>0.9595959595959197</c:v>
                </c:pt>
                <c:pt idx="96">
                  <c:v>0.96969696969693409</c:v>
                </c:pt>
                <c:pt idx="97">
                  <c:v>0.97979797979797401</c:v>
                </c:pt>
                <c:pt idx="98">
                  <c:v>0.9898989898989885</c:v>
                </c:pt>
                <c:pt idx="99">
                  <c:v>1</c:v>
                </c:pt>
              </c:numCache>
            </c:numRef>
          </c:xVal>
          <c:yVal>
            <c:numRef>
              <c:f>Sheet1!$AK$2:$AK$101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5D-43DF-B2F5-1439ECB964A3}"/>
            </c:ext>
          </c:extLst>
        </c:ser>
        <c:ser>
          <c:idx val="7"/>
          <c:order val="7"/>
          <c:spPr>
            <a:ln w="28800">
              <a:solidFill>
                <a:srgbClr val="FF950E"/>
              </a:solidFill>
              <a:round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Sheet1!$AN$2:$AN$101</c:f>
              <c:numCache>
                <c:formatCode>General</c:formatCode>
                <c:ptCount val="100"/>
                <c:pt idx="0">
                  <c:v>1.0000000000013884</c:v>
                </c:pt>
                <c:pt idx="1">
                  <c:v>0.9898989899003684</c:v>
                </c:pt>
                <c:pt idx="2">
                  <c:v>0.97979797979935124</c:v>
                </c:pt>
                <c:pt idx="3">
                  <c:v>0.96969696969830566</c:v>
                </c:pt>
                <c:pt idx="4">
                  <c:v>0.95959595959728572</c:v>
                </c:pt>
                <c:pt idx="5">
                  <c:v>0.94949494949626712</c:v>
                </c:pt>
                <c:pt idx="6">
                  <c:v>0.93939393939524707</c:v>
                </c:pt>
                <c:pt idx="7">
                  <c:v>0.92929292929422846</c:v>
                </c:pt>
                <c:pt idx="8">
                  <c:v>0.91919191919318144</c:v>
                </c:pt>
                <c:pt idx="9">
                  <c:v>0.90909090909216439</c:v>
                </c:pt>
                <c:pt idx="10">
                  <c:v>0.89898989899114579</c:v>
                </c:pt>
                <c:pt idx="11">
                  <c:v>0.88888888889012574</c:v>
                </c:pt>
                <c:pt idx="12">
                  <c:v>0.87878787878910714</c:v>
                </c:pt>
                <c:pt idx="13">
                  <c:v>0.86868686868806011</c:v>
                </c:pt>
                <c:pt idx="14">
                  <c:v>0.85858585858704162</c:v>
                </c:pt>
                <c:pt idx="15">
                  <c:v>0.84848484848602435</c:v>
                </c:pt>
                <c:pt idx="16">
                  <c:v>0.83838383838500441</c:v>
                </c:pt>
                <c:pt idx="17">
                  <c:v>0.82828282828398581</c:v>
                </c:pt>
                <c:pt idx="18">
                  <c:v>0.81818181818296587</c:v>
                </c:pt>
                <c:pt idx="19">
                  <c:v>0.80808080808192018</c:v>
                </c:pt>
                <c:pt idx="20">
                  <c:v>0.79797979798090024</c:v>
                </c:pt>
                <c:pt idx="21">
                  <c:v>0.78787878787988308</c:v>
                </c:pt>
                <c:pt idx="22">
                  <c:v>0.77777777777886448</c:v>
                </c:pt>
                <c:pt idx="23">
                  <c:v>0.76767676767784443</c:v>
                </c:pt>
                <c:pt idx="24">
                  <c:v>0.75757575757679885</c:v>
                </c:pt>
                <c:pt idx="25">
                  <c:v>0.7474747474757788</c:v>
                </c:pt>
                <c:pt idx="26">
                  <c:v>0.73737373737476175</c:v>
                </c:pt>
                <c:pt idx="27">
                  <c:v>0.7272727272737417</c:v>
                </c:pt>
                <c:pt idx="28">
                  <c:v>0.7171717171727231</c:v>
                </c:pt>
                <c:pt idx="29">
                  <c:v>0.70707070707167752</c:v>
                </c:pt>
                <c:pt idx="30">
                  <c:v>0.69696969697065758</c:v>
                </c:pt>
                <c:pt idx="31">
                  <c:v>0.68686868686963898</c:v>
                </c:pt>
                <c:pt idx="32">
                  <c:v>0.67676767676861893</c:v>
                </c:pt>
                <c:pt idx="33">
                  <c:v>0.66666666666760177</c:v>
                </c:pt>
                <c:pt idx="34">
                  <c:v>0.65656565656655475</c:v>
                </c:pt>
                <c:pt idx="35">
                  <c:v>0.64646464646553614</c:v>
                </c:pt>
                <c:pt idx="36">
                  <c:v>0.63636363636451754</c:v>
                </c:pt>
                <c:pt idx="37">
                  <c:v>0.6262626262634976</c:v>
                </c:pt>
                <c:pt idx="38">
                  <c:v>0.61616161616248044</c:v>
                </c:pt>
                <c:pt idx="39">
                  <c:v>0.60606060606143197</c:v>
                </c:pt>
                <c:pt idx="40">
                  <c:v>0.59595959596041481</c:v>
                </c:pt>
                <c:pt idx="41">
                  <c:v>0.58585858585939632</c:v>
                </c:pt>
                <c:pt idx="42">
                  <c:v>0.57575757575837616</c:v>
                </c:pt>
                <c:pt idx="43">
                  <c:v>0.56565656565735767</c:v>
                </c:pt>
                <c:pt idx="44">
                  <c:v>0.55555555555633906</c:v>
                </c:pt>
                <c:pt idx="45">
                  <c:v>0.54545454545529348</c:v>
                </c:pt>
                <c:pt idx="46">
                  <c:v>0.53535353535427355</c:v>
                </c:pt>
                <c:pt idx="47">
                  <c:v>0.52525252525325494</c:v>
                </c:pt>
                <c:pt idx="48">
                  <c:v>0.51515151515223634</c:v>
                </c:pt>
                <c:pt idx="49">
                  <c:v>0.50505050505121629</c:v>
                </c:pt>
                <c:pt idx="50">
                  <c:v>0.49494949495017071</c:v>
                </c:pt>
                <c:pt idx="51">
                  <c:v>0.48484848484915211</c:v>
                </c:pt>
                <c:pt idx="52">
                  <c:v>0.4747474747481335</c:v>
                </c:pt>
                <c:pt idx="53">
                  <c:v>0.46464646464711357</c:v>
                </c:pt>
                <c:pt idx="54">
                  <c:v>0.45454545454609496</c:v>
                </c:pt>
                <c:pt idx="55">
                  <c:v>0.44444444444504938</c:v>
                </c:pt>
                <c:pt idx="56">
                  <c:v>0.43434343434402933</c:v>
                </c:pt>
                <c:pt idx="57">
                  <c:v>0.42424242424301217</c:v>
                </c:pt>
                <c:pt idx="58">
                  <c:v>0.41414141414199224</c:v>
                </c:pt>
                <c:pt idx="59">
                  <c:v>0.40404040404097363</c:v>
                </c:pt>
                <c:pt idx="60">
                  <c:v>0.39393939393992661</c:v>
                </c:pt>
                <c:pt idx="61">
                  <c:v>0.383838383838908</c:v>
                </c:pt>
                <c:pt idx="62">
                  <c:v>0.3737373737378894</c:v>
                </c:pt>
                <c:pt idx="63">
                  <c:v>0.3636363636368708</c:v>
                </c:pt>
                <c:pt idx="64">
                  <c:v>0.3535353535358523</c:v>
                </c:pt>
                <c:pt idx="65">
                  <c:v>0.34343434343480528</c:v>
                </c:pt>
                <c:pt idx="66">
                  <c:v>0.33333333333378667</c:v>
                </c:pt>
                <c:pt idx="67">
                  <c:v>0.32323232323276807</c:v>
                </c:pt>
                <c:pt idx="68">
                  <c:v>0.31313131313174813</c:v>
                </c:pt>
                <c:pt idx="69">
                  <c:v>0.30303030303073086</c:v>
                </c:pt>
                <c:pt idx="70">
                  <c:v>0.29292929292971093</c:v>
                </c:pt>
                <c:pt idx="71">
                  <c:v>0.28282828282866534</c:v>
                </c:pt>
                <c:pt idx="72">
                  <c:v>0.2727272727276453</c:v>
                </c:pt>
                <c:pt idx="73">
                  <c:v>0.26262626262662669</c:v>
                </c:pt>
                <c:pt idx="74">
                  <c:v>0.25252525252560953</c:v>
                </c:pt>
                <c:pt idx="75">
                  <c:v>0.2424242424245896</c:v>
                </c:pt>
                <c:pt idx="76">
                  <c:v>0.23232323232354402</c:v>
                </c:pt>
                <c:pt idx="77">
                  <c:v>0.22222222222252397</c:v>
                </c:pt>
                <c:pt idx="78">
                  <c:v>0.21212121212150536</c:v>
                </c:pt>
                <c:pt idx="79">
                  <c:v>0.20202020202048543</c:v>
                </c:pt>
                <c:pt idx="80">
                  <c:v>0.19191919191946827</c:v>
                </c:pt>
                <c:pt idx="81">
                  <c:v>0.18181818181842124</c:v>
                </c:pt>
                <c:pt idx="82">
                  <c:v>0.17171717171740264</c:v>
                </c:pt>
                <c:pt idx="83">
                  <c:v>0.16161616161638404</c:v>
                </c:pt>
                <c:pt idx="84">
                  <c:v>0.15151515151536399</c:v>
                </c:pt>
                <c:pt idx="85">
                  <c:v>0.1414141414143455</c:v>
                </c:pt>
                <c:pt idx="86">
                  <c:v>0.13131313131329847</c:v>
                </c:pt>
                <c:pt idx="87">
                  <c:v>0.12121212121227987</c:v>
                </c:pt>
                <c:pt idx="88">
                  <c:v>0.11111111111126271</c:v>
                </c:pt>
                <c:pt idx="89">
                  <c:v>0.10101010101024266</c:v>
                </c:pt>
                <c:pt idx="90">
                  <c:v>9.0909090909224055E-2</c:v>
                </c:pt>
                <c:pt idx="91">
                  <c:v>8.0808080808204119E-2</c:v>
                </c:pt>
                <c:pt idx="92">
                  <c:v>7.0707070707158537E-2</c:v>
                </c:pt>
                <c:pt idx="93">
                  <c:v>6.0606060606141376E-2</c:v>
                </c:pt>
                <c:pt idx="94">
                  <c:v>5.0505050505121329E-2</c:v>
                </c:pt>
                <c:pt idx="95">
                  <c:v>4.0404040404102726E-2</c:v>
                </c:pt>
                <c:pt idx="96">
                  <c:v>3.030303030308279E-2</c:v>
                </c:pt>
                <c:pt idx="97">
                  <c:v>2.0202020202037207E-2</c:v>
                </c:pt>
                <c:pt idx="98">
                  <c:v>1.010101010101716E-2</c:v>
                </c:pt>
                <c:pt idx="99">
                  <c:v>0</c:v>
                </c:pt>
              </c:numCache>
            </c:numRef>
          </c:xVal>
          <c:yVal>
            <c:numRef>
              <c:f>Sheet1!$AO$2:$AO$101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5D-43DF-B2F5-1439ECB964A3}"/>
            </c:ext>
          </c:extLst>
        </c:ser>
        <c:ser>
          <c:idx val="8"/>
          <c:order val="8"/>
          <c:spPr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Sheet1!$H$2:$H$101</c:f>
              <c:numCache>
                <c:formatCode>General</c:formatCode>
                <c:ptCount val="100"/>
                <c:pt idx="0">
                  <c:v>0.99999999999977229</c:v>
                </c:pt>
                <c:pt idx="1">
                  <c:v>0.98989898989876446</c:v>
                </c:pt>
                <c:pt idx="2">
                  <c:v>0.9797979797977564</c:v>
                </c:pt>
                <c:pt idx="3">
                  <c:v>0.96969696969674835</c:v>
                </c:pt>
                <c:pt idx="4">
                  <c:v>0.95959595959574051</c:v>
                </c:pt>
                <c:pt idx="5">
                  <c:v>0.94949494949473245</c:v>
                </c:pt>
                <c:pt idx="6">
                  <c:v>0.93939393939372462</c:v>
                </c:pt>
                <c:pt idx="7">
                  <c:v>0.92929292929271656</c:v>
                </c:pt>
                <c:pt idx="8">
                  <c:v>0.91919191919170862</c:v>
                </c:pt>
                <c:pt idx="9">
                  <c:v>0.90909090909070089</c:v>
                </c:pt>
                <c:pt idx="10">
                  <c:v>0.89898989898969284</c:v>
                </c:pt>
                <c:pt idx="11">
                  <c:v>0.88888888888868767</c:v>
                </c:pt>
                <c:pt idx="12">
                  <c:v>0.87878787878767983</c:v>
                </c:pt>
                <c:pt idx="13">
                  <c:v>0.86868686868667178</c:v>
                </c:pt>
                <c:pt idx="14">
                  <c:v>0.85858585858566394</c:v>
                </c:pt>
                <c:pt idx="15">
                  <c:v>0.84848484848465588</c:v>
                </c:pt>
                <c:pt idx="16">
                  <c:v>0.83838383838364794</c:v>
                </c:pt>
                <c:pt idx="17">
                  <c:v>0.82828282828263999</c:v>
                </c:pt>
                <c:pt idx="18">
                  <c:v>0.81818181818163205</c:v>
                </c:pt>
                <c:pt idx="19">
                  <c:v>0.80808080808062432</c:v>
                </c:pt>
                <c:pt idx="20">
                  <c:v>0.79797979797961638</c:v>
                </c:pt>
                <c:pt idx="21">
                  <c:v>0.78787878787860832</c:v>
                </c:pt>
                <c:pt idx="22">
                  <c:v>0.77777777777760049</c:v>
                </c:pt>
                <c:pt idx="23">
                  <c:v>0.76767676767659243</c:v>
                </c:pt>
                <c:pt idx="24">
                  <c:v>0.7575757575755846</c:v>
                </c:pt>
                <c:pt idx="25">
                  <c:v>0.74747474747457654</c:v>
                </c:pt>
                <c:pt idx="26">
                  <c:v>0.73737373737356848</c:v>
                </c:pt>
                <c:pt idx="27">
                  <c:v>0.72727272727256065</c:v>
                </c:pt>
                <c:pt idx="28">
                  <c:v>0.71717171717155259</c:v>
                </c:pt>
                <c:pt idx="29">
                  <c:v>0.70707070707054476</c:v>
                </c:pt>
                <c:pt idx="30">
                  <c:v>0.69696969696953692</c:v>
                </c:pt>
                <c:pt idx="31">
                  <c:v>0.68686868686853175</c:v>
                </c:pt>
                <c:pt idx="32">
                  <c:v>0.67676767676752392</c:v>
                </c:pt>
                <c:pt idx="33">
                  <c:v>0.66666666666651586</c:v>
                </c:pt>
                <c:pt idx="34">
                  <c:v>0.6565656565655078</c:v>
                </c:pt>
                <c:pt idx="35">
                  <c:v>0.64646464646449997</c:v>
                </c:pt>
                <c:pt idx="36">
                  <c:v>0.63636363636349191</c:v>
                </c:pt>
                <c:pt idx="37">
                  <c:v>0.62626262626248408</c:v>
                </c:pt>
                <c:pt idx="38">
                  <c:v>0.61616161616147602</c:v>
                </c:pt>
                <c:pt idx="39">
                  <c:v>0.60606060606046808</c:v>
                </c:pt>
                <c:pt idx="40">
                  <c:v>0.59595959595946013</c:v>
                </c:pt>
                <c:pt idx="41">
                  <c:v>0.58585858585845219</c:v>
                </c:pt>
                <c:pt idx="42">
                  <c:v>0.57575757575744446</c:v>
                </c:pt>
                <c:pt idx="43">
                  <c:v>0.56565656565643652</c:v>
                </c:pt>
                <c:pt idx="44">
                  <c:v>0.55555555555542835</c:v>
                </c:pt>
                <c:pt idx="45">
                  <c:v>0.54545454545442063</c:v>
                </c:pt>
                <c:pt idx="46">
                  <c:v>0.53535353535341257</c:v>
                </c:pt>
                <c:pt idx="47">
                  <c:v>0.52525252525240473</c:v>
                </c:pt>
                <c:pt idx="48">
                  <c:v>0.51515151515139668</c:v>
                </c:pt>
                <c:pt idx="49">
                  <c:v>0.50505050505038862</c:v>
                </c:pt>
                <c:pt idx="50">
                  <c:v>0.49494949494938079</c:v>
                </c:pt>
                <c:pt idx="51">
                  <c:v>0.48484848484837562</c:v>
                </c:pt>
                <c:pt idx="52">
                  <c:v>0.47474747474736756</c:v>
                </c:pt>
                <c:pt idx="53">
                  <c:v>0.46464646464635995</c:v>
                </c:pt>
                <c:pt idx="54">
                  <c:v>0.45454545454535189</c:v>
                </c:pt>
                <c:pt idx="55">
                  <c:v>0.44444444444434406</c:v>
                </c:pt>
                <c:pt idx="56">
                  <c:v>0.434343434343336</c:v>
                </c:pt>
                <c:pt idx="57">
                  <c:v>0.42424242424232794</c:v>
                </c:pt>
                <c:pt idx="58">
                  <c:v>0.41414141414132011</c:v>
                </c:pt>
                <c:pt idx="59">
                  <c:v>0.40404040404031205</c:v>
                </c:pt>
                <c:pt idx="60">
                  <c:v>0.39393939393930444</c:v>
                </c:pt>
                <c:pt idx="61">
                  <c:v>0.38383838383829616</c:v>
                </c:pt>
                <c:pt idx="62">
                  <c:v>0.37373737373728833</c:v>
                </c:pt>
                <c:pt idx="63">
                  <c:v>0.36363636363628049</c:v>
                </c:pt>
                <c:pt idx="64">
                  <c:v>0.35353535353527232</c:v>
                </c:pt>
                <c:pt idx="65">
                  <c:v>0.34343434343426449</c:v>
                </c:pt>
                <c:pt idx="66">
                  <c:v>0.33333333333325654</c:v>
                </c:pt>
                <c:pt idx="67">
                  <c:v>0.32323232323224871</c:v>
                </c:pt>
                <c:pt idx="68">
                  <c:v>0.31313131313124054</c:v>
                </c:pt>
                <c:pt idx="69">
                  <c:v>0.30303030303023271</c:v>
                </c:pt>
                <c:pt idx="70">
                  <c:v>0.29292929292922487</c:v>
                </c:pt>
                <c:pt idx="71">
                  <c:v>0.28282828282821981</c:v>
                </c:pt>
                <c:pt idx="72">
                  <c:v>0.27272727272721164</c:v>
                </c:pt>
                <c:pt idx="73">
                  <c:v>0.26262626262620381</c:v>
                </c:pt>
                <c:pt idx="74">
                  <c:v>0.25252525252519586</c:v>
                </c:pt>
                <c:pt idx="75">
                  <c:v>0.2424242424241877</c:v>
                </c:pt>
                <c:pt idx="76">
                  <c:v>0.23232323232317986</c:v>
                </c:pt>
                <c:pt idx="77">
                  <c:v>0.22222222222217203</c:v>
                </c:pt>
                <c:pt idx="78">
                  <c:v>0.21212121212116419</c:v>
                </c:pt>
                <c:pt idx="79">
                  <c:v>0.20202020202015591</c:v>
                </c:pt>
                <c:pt idx="80">
                  <c:v>0.19191919191914841</c:v>
                </c:pt>
                <c:pt idx="81">
                  <c:v>0.18181818181814025</c:v>
                </c:pt>
                <c:pt idx="82">
                  <c:v>0.17171717171713241</c:v>
                </c:pt>
                <c:pt idx="83">
                  <c:v>0.16161616161612424</c:v>
                </c:pt>
                <c:pt idx="84">
                  <c:v>0.1515151515151163</c:v>
                </c:pt>
                <c:pt idx="85">
                  <c:v>0.14141414141410846</c:v>
                </c:pt>
                <c:pt idx="86">
                  <c:v>0.1313131313131003</c:v>
                </c:pt>
                <c:pt idx="87">
                  <c:v>0.12121212121209246</c:v>
                </c:pt>
                <c:pt idx="88">
                  <c:v>0.11111111111108463</c:v>
                </c:pt>
                <c:pt idx="89">
                  <c:v>0.10101010101007668</c:v>
                </c:pt>
                <c:pt idx="90">
                  <c:v>9.0909090909068513E-2</c:v>
                </c:pt>
                <c:pt idx="91">
                  <c:v>8.0808080808063565E-2</c:v>
                </c:pt>
                <c:pt idx="92">
                  <c:v>7.0707070707056063E-2</c:v>
                </c:pt>
                <c:pt idx="93">
                  <c:v>6.0606060606047785E-2</c:v>
                </c:pt>
                <c:pt idx="94">
                  <c:v>5.050505050503995E-2</c:v>
                </c:pt>
                <c:pt idx="95">
                  <c:v>4.0404040404032115E-2</c:v>
                </c:pt>
                <c:pt idx="96">
                  <c:v>3.0303030303023948E-2</c:v>
                </c:pt>
                <c:pt idx="97">
                  <c:v>2.0202020202016002E-2</c:v>
                </c:pt>
                <c:pt idx="98">
                  <c:v>1.0101010101008168E-2</c:v>
                </c:pt>
                <c:pt idx="99">
                  <c:v>0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5D-43DF-B2F5-1439ECB964A3}"/>
            </c:ext>
          </c:extLst>
        </c:ser>
        <c:ser>
          <c:idx val="9"/>
          <c:order val="9"/>
          <c:spPr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Sheet1!$L$2:$L$101</c:f>
              <c:numCache>
                <c:formatCode>General</c:formatCode>
                <c:ptCount val="100"/>
                <c:pt idx="0">
                  <c:v>1.7863540631538635E-12</c:v>
                </c:pt>
                <c:pt idx="1">
                  <c:v>1.0101010102778354E-2</c:v>
                </c:pt>
                <c:pt idx="2">
                  <c:v>2.0202020203770352E-2</c:v>
                </c:pt>
                <c:pt idx="3">
                  <c:v>3.030303030476271E-2</c:v>
                </c:pt>
                <c:pt idx="4">
                  <c:v>4.040404040575471E-2</c:v>
                </c:pt>
                <c:pt idx="5">
                  <c:v>5.0505050506746349E-2</c:v>
                </c:pt>
                <c:pt idx="6">
                  <c:v>6.0606060607738349E-2</c:v>
                </c:pt>
                <c:pt idx="7">
                  <c:v>7.070707070873071E-2</c:v>
                </c:pt>
                <c:pt idx="8">
                  <c:v>8.080808080972271E-2</c:v>
                </c:pt>
                <c:pt idx="9">
                  <c:v>9.090909091071471E-2</c:v>
                </c:pt>
                <c:pt idx="10">
                  <c:v>0.10101010101170706</c:v>
                </c:pt>
                <c:pt idx="11">
                  <c:v>0.11111111111269906</c:v>
                </c:pt>
                <c:pt idx="12">
                  <c:v>0.12121212121369106</c:v>
                </c:pt>
                <c:pt idx="13">
                  <c:v>0.13131313131468306</c:v>
                </c:pt>
                <c:pt idx="14">
                  <c:v>0.1414141414156754</c:v>
                </c:pt>
                <c:pt idx="15">
                  <c:v>0.15151515151666742</c:v>
                </c:pt>
                <c:pt idx="16">
                  <c:v>0.1616161616176594</c:v>
                </c:pt>
                <c:pt idx="17">
                  <c:v>0.17171717171865178</c:v>
                </c:pt>
                <c:pt idx="18">
                  <c:v>0.18181818181964376</c:v>
                </c:pt>
                <c:pt idx="19">
                  <c:v>0.19191919192063578</c:v>
                </c:pt>
                <c:pt idx="20">
                  <c:v>0.20202020202162813</c:v>
                </c:pt>
                <c:pt idx="21">
                  <c:v>0.21212121212262011</c:v>
                </c:pt>
                <c:pt idx="22">
                  <c:v>0.22222222222361213</c:v>
                </c:pt>
                <c:pt idx="23">
                  <c:v>0.23232323232460411</c:v>
                </c:pt>
                <c:pt idx="24">
                  <c:v>0.24242424242559649</c:v>
                </c:pt>
                <c:pt idx="25">
                  <c:v>0.25252525252658814</c:v>
                </c:pt>
                <c:pt idx="26">
                  <c:v>0.2626262626275801</c:v>
                </c:pt>
                <c:pt idx="27">
                  <c:v>0.2727272727285725</c:v>
                </c:pt>
                <c:pt idx="28">
                  <c:v>0.28282828282956446</c:v>
                </c:pt>
                <c:pt idx="29">
                  <c:v>0.29292929293055647</c:v>
                </c:pt>
                <c:pt idx="30">
                  <c:v>0.30303030303154882</c:v>
                </c:pt>
                <c:pt idx="31">
                  <c:v>0.31313131313254083</c:v>
                </c:pt>
                <c:pt idx="32">
                  <c:v>0.32323232323353285</c:v>
                </c:pt>
                <c:pt idx="33">
                  <c:v>0.33333333333452481</c:v>
                </c:pt>
                <c:pt idx="34">
                  <c:v>0.34343434343551721</c:v>
                </c:pt>
                <c:pt idx="35">
                  <c:v>0.35353535353650917</c:v>
                </c:pt>
                <c:pt idx="36">
                  <c:v>0.36363636363750118</c:v>
                </c:pt>
                <c:pt idx="37">
                  <c:v>0.37373737373849353</c:v>
                </c:pt>
                <c:pt idx="38">
                  <c:v>0.38383838383948554</c:v>
                </c:pt>
                <c:pt idx="39">
                  <c:v>0.39393939394047756</c:v>
                </c:pt>
                <c:pt idx="40">
                  <c:v>0.4040404040414699</c:v>
                </c:pt>
                <c:pt idx="41">
                  <c:v>0.41414141414246192</c:v>
                </c:pt>
                <c:pt idx="42">
                  <c:v>0.42424242424345388</c:v>
                </c:pt>
                <c:pt idx="43">
                  <c:v>0.43434343434444589</c:v>
                </c:pt>
                <c:pt idx="44">
                  <c:v>0.44444444444543824</c:v>
                </c:pt>
                <c:pt idx="45">
                  <c:v>0.45454545454643025</c:v>
                </c:pt>
                <c:pt idx="46">
                  <c:v>0.46464646464742188</c:v>
                </c:pt>
                <c:pt idx="47">
                  <c:v>0.47474747474841461</c:v>
                </c:pt>
                <c:pt idx="48">
                  <c:v>0.48484848484940624</c:v>
                </c:pt>
                <c:pt idx="49">
                  <c:v>0.49494949495039825</c:v>
                </c:pt>
                <c:pt idx="50">
                  <c:v>0.5050505050513906</c:v>
                </c:pt>
                <c:pt idx="51">
                  <c:v>0.51515151515237978</c:v>
                </c:pt>
                <c:pt idx="52">
                  <c:v>0.52525252525337462</c:v>
                </c:pt>
                <c:pt idx="53">
                  <c:v>0.53535353535436658</c:v>
                </c:pt>
                <c:pt idx="54">
                  <c:v>0.54545454545535899</c:v>
                </c:pt>
                <c:pt idx="55">
                  <c:v>0.55555555555634806</c:v>
                </c:pt>
                <c:pt idx="56">
                  <c:v>0.56565656565734013</c:v>
                </c:pt>
                <c:pt idx="57">
                  <c:v>0.5757575757583353</c:v>
                </c:pt>
                <c:pt idx="58">
                  <c:v>0.58585858585932449</c:v>
                </c:pt>
                <c:pt idx="59">
                  <c:v>0.59595959596031645</c:v>
                </c:pt>
                <c:pt idx="60">
                  <c:v>0.60606060606130885</c:v>
                </c:pt>
                <c:pt idx="61">
                  <c:v>0.61616161616230081</c:v>
                </c:pt>
                <c:pt idx="62">
                  <c:v>0.62626262626329277</c:v>
                </c:pt>
                <c:pt idx="63">
                  <c:v>0.63636363636428517</c:v>
                </c:pt>
                <c:pt idx="64">
                  <c:v>0.64646464646527713</c:v>
                </c:pt>
                <c:pt idx="65">
                  <c:v>0.6565656565662692</c:v>
                </c:pt>
                <c:pt idx="66">
                  <c:v>0.66666666666726115</c:v>
                </c:pt>
                <c:pt idx="67">
                  <c:v>0.67676767676825356</c:v>
                </c:pt>
                <c:pt idx="68">
                  <c:v>0.68686868686924518</c:v>
                </c:pt>
                <c:pt idx="69">
                  <c:v>0.69696969697023714</c:v>
                </c:pt>
                <c:pt idx="70">
                  <c:v>0.70707070707122954</c:v>
                </c:pt>
                <c:pt idx="71">
                  <c:v>0.7171717171722215</c:v>
                </c:pt>
                <c:pt idx="72">
                  <c:v>0.72727272727321357</c:v>
                </c:pt>
                <c:pt idx="73">
                  <c:v>0.73737373737420553</c:v>
                </c:pt>
                <c:pt idx="74">
                  <c:v>0.74747474747519793</c:v>
                </c:pt>
                <c:pt idx="75">
                  <c:v>0.75757575757618989</c:v>
                </c:pt>
                <c:pt idx="76">
                  <c:v>0.76767676767718185</c:v>
                </c:pt>
                <c:pt idx="77">
                  <c:v>0.77777777777818524</c:v>
                </c:pt>
                <c:pt idx="78">
                  <c:v>0.78787878787917187</c:v>
                </c:pt>
                <c:pt idx="79">
                  <c:v>0.79797979798015828</c:v>
                </c:pt>
                <c:pt idx="80">
                  <c:v>0.80808080808114491</c:v>
                </c:pt>
                <c:pt idx="81">
                  <c:v>0.8181818181821312</c:v>
                </c:pt>
                <c:pt idx="82">
                  <c:v>0.82828282828314592</c:v>
                </c:pt>
                <c:pt idx="83">
                  <c:v>0.83838383838413222</c:v>
                </c:pt>
                <c:pt idx="84">
                  <c:v>0.84848484848511896</c:v>
                </c:pt>
                <c:pt idx="85">
                  <c:v>0.85858585858610525</c:v>
                </c:pt>
                <c:pt idx="86">
                  <c:v>0.86868686868709188</c:v>
                </c:pt>
                <c:pt idx="87">
                  <c:v>0.87878787878810594</c:v>
                </c:pt>
                <c:pt idx="88">
                  <c:v>0.88888888888909268</c:v>
                </c:pt>
                <c:pt idx="89">
                  <c:v>0.89898989899007897</c:v>
                </c:pt>
                <c:pt idx="90">
                  <c:v>0.90909090909106594</c:v>
                </c:pt>
                <c:pt idx="91">
                  <c:v>0.91919191919205223</c:v>
                </c:pt>
                <c:pt idx="92">
                  <c:v>0.92929292929306662</c:v>
                </c:pt>
                <c:pt idx="93">
                  <c:v>0.93939393939405302</c:v>
                </c:pt>
                <c:pt idx="94">
                  <c:v>0.94949494949503965</c:v>
                </c:pt>
                <c:pt idx="95">
                  <c:v>0.95959595959602595</c:v>
                </c:pt>
                <c:pt idx="96">
                  <c:v>0.96969696969701258</c:v>
                </c:pt>
                <c:pt idx="97">
                  <c:v>0.97979797979802696</c:v>
                </c:pt>
                <c:pt idx="98">
                  <c:v>0.9898989898990137</c:v>
                </c:pt>
                <c:pt idx="99">
                  <c:v>1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5D-43DF-B2F5-1439ECB96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01803"/>
        <c:axId val="91816368"/>
      </c:scatterChart>
      <c:valAx>
        <c:axId val="77501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etat</a:t>
                </a:r>
                <a:r>
                  <a:rPr lang="fr-FR" baseline="0"/>
                  <a:t> de charge</a:t>
                </a:r>
                <a:endParaRPr lang="fr-F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endParaRPr lang="fr-FR"/>
          </a:p>
        </c:txPr>
        <c:crossAx val="91816368"/>
        <c:crosses val="autoZero"/>
        <c:crossBetween val="midCat"/>
      </c:valAx>
      <c:valAx>
        <c:axId val="9181636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tension</a:t>
                </a:r>
                <a:r>
                  <a:rPr lang="fr-FR" baseline="0"/>
                  <a:t> V</a:t>
                </a:r>
                <a:endParaRPr lang="fr-F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endParaRPr lang="fr-FR"/>
          </a:p>
        </c:txPr>
        <c:crossAx val="7750180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509760</xdr:colOff>
      <xdr:row>104</xdr:row>
      <xdr:rowOff>20160</xdr:rowOff>
    </xdr:from>
    <xdr:to>
      <xdr:col>9</xdr:col>
      <xdr:colOff>121680</xdr:colOff>
      <xdr:row>126</xdr:row>
      <xdr:rowOff>104040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53671</xdr:colOff>
      <xdr:row>62</xdr:row>
      <xdr:rowOff>94682</xdr:rowOff>
    </xdr:from>
    <xdr:to>
      <xdr:col>16</xdr:col>
      <xdr:colOff>727668</xdr:colOff>
      <xdr:row>84</xdr:row>
      <xdr:rowOff>127082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104769</xdr:colOff>
      <xdr:row>74</xdr:row>
      <xdr:rowOff>90714</xdr:rowOff>
    </xdr:from>
    <xdr:to>
      <xdr:col>32</xdr:col>
      <xdr:colOff>447071</xdr:colOff>
      <xdr:row>97</xdr:row>
      <xdr:rowOff>116641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65914</xdr:colOff>
      <xdr:row>96</xdr:row>
      <xdr:rowOff>40684</xdr:rowOff>
    </xdr:from>
    <xdr:to>
      <xdr:col>19</xdr:col>
      <xdr:colOff>498928</xdr:colOff>
      <xdr:row>119</xdr:row>
      <xdr:rowOff>90714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zoomScale="74" zoomScaleNormal="74" workbookViewId="0">
      <selection activeCell="L125" sqref="L125"/>
    </sheetView>
  </sheetViews>
  <sheetFormatPr baseColWidth="10" defaultColWidth="9.140625" defaultRowHeight="12.75" x14ac:dyDescent="0.2"/>
  <cols>
    <col min="1" max="1025" width="11.28515625"/>
  </cols>
  <sheetData>
    <row r="1" spans="1: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2">
        <v>0</v>
      </c>
      <c r="B2">
        <v>20.2664669488321</v>
      </c>
      <c r="C2">
        <v>3.04962158203125</v>
      </c>
      <c r="D2">
        <v>36023.961866048201</v>
      </c>
      <c r="E2">
        <v>3.20648193359375</v>
      </c>
      <c r="F2">
        <v>72028.995598144305</v>
      </c>
      <c r="G2">
        <v>2.89794921875</v>
      </c>
      <c r="H2">
        <v>108032.376905244</v>
      </c>
      <c r="I2">
        <v>3.2061767578125</v>
      </c>
      <c r="J2">
        <v>144037.75662433999</v>
      </c>
      <c r="K2">
        <v>2.9010009765625</v>
      </c>
      <c r="L2">
        <v>180041.14793244001</v>
      </c>
      <c r="M2">
        <v>3.20709228515625</v>
      </c>
      <c r="N2">
        <v>216046.54665853499</v>
      </c>
      <c r="O2">
        <v>2.904052734375</v>
      </c>
      <c r="P2">
        <v>252049.97396763499</v>
      </c>
      <c r="Q2">
        <v>3.21014404296875</v>
      </c>
      <c r="R2">
        <v>288055.55969672999</v>
      </c>
      <c r="S2">
        <v>2.90679931640625</v>
      </c>
      <c r="T2">
        <v>324059.01900582999</v>
      </c>
      <c r="U2">
        <v>3.21624755859375</v>
      </c>
    </row>
    <row r="3" spans="1:21" x14ac:dyDescent="0.2">
      <c r="A3" s="2">
        <v>1</v>
      </c>
      <c r="B3">
        <v>383.89272865702702</v>
      </c>
      <c r="C3">
        <v>3.1451416015625</v>
      </c>
      <c r="D3">
        <v>36387.588127756397</v>
      </c>
      <c r="E3">
        <v>3.14178466796875</v>
      </c>
      <c r="F3">
        <v>72392.621859852501</v>
      </c>
      <c r="G3">
        <v>2.9701988143150202</v>
      </c>
      <c r="H3">
        <v>108396.003166952</v>
      </c>
      <c r="I3">
        <v>3.14178466796875</v>
      </c>
      <c r="J3">
        <v>144401.382886048</v>
      </c>
      <c r="K3">
        <v>2.9752727470012101</v>
      </c>
      <c r="L3">
        <v>180404.77419414799</v>
      </c>
      <c r="M3">
        <v>3.1415935477824601</v>
      </c>
      <c r="N3">
        <v>216410.172920243</v>
      </c>
      <c r="O3">
        <v>2.9822917899699601</v>
      </c>
      <c r="P3">
        <v>252413.60022934299</v>
      </c>
      <c r="Q3">
        <v>3.14300537109375</v>
      </c>
      <c r="R3">
        <v>288419.18595843803</v>
      </c>
      <c r="S3">
        <v>2.98736572265625</v>
      </c>
      <c r="T3">
        <v>324422.64526753803</v>
      </c>
      <c r="U3">
        <v>3.14605712890625</v>
      </c>
    </row>
    <row r="4" spans="1:21" x14ac:dyDescent="0.2">
      <c r="A4" s="2">
        <v>2</v>
      </c>
      <c r="B4">
        <v>747.51899036522104</v>
      </c>
      <c r="C4">
        <v>3.15406876380997</v>
      </c>
      <c r="D4">
        <v>36751.2143894646</v>
      </c>
      <c r="E4">
        <v>3.11332625572128</v>
      </c>
      <c r="F4">
        <v>72756.248121560697</v>
      </c>
      <c r="G4">
        <v>3.00201416015625</v>
      </c>
      <c r="H4">
        <v>108759.62942866</v>
      </c>
      <c r="I4">
        <v>3.11370849609375</v>
      </c>
      <c r="J4">
        <v>144765.00914775601</v>
      </c>
      <c r="K4">
        <v>3.0065147322836698</v>
      </c>
      <c r="L4">
        <v>180768.400455856</v>
      </c>
      <c r="M4">
        <v>3.1134033203125</v>
      </c>
      <c r="N4">
        <v>216773.79918195101</v>
      </c>
      <c r="O4">
        <v>3.0136077572596598</v>
      </c>
      <c r="P4">
        <v>252777.226491051</v>
      </c>
      <c r="Q4">
        <v>3.11370849609375</v>
      </c>
      <c r="R4">
        <v>288782.81222014601</v>
      </c>
      <c r="S4">
        <v>3.0181884765625</v>
      </c>
      <c r="T4">
        <v>324786.27152924601</v>
      </c>
      <c r="U4">
        <v>3.11492919921875</v>
      </c>
    </row>
    <row r="5" spans="1:21" x14ac:dyDescent="0.2">
      <c r="A5" s="2">
        <v>3</v>
      </c>
      <c r="B5">
        <v>1111.1452520734199</v>
      </c>
      <c r="C5">
        <v>3.15643310546875</v>
      </c>
      <c r="D5">
        <v>37114.840651172803</v>
      </c>
      <c r="E5">
        <v>3.0914306640625</v>
      </c>
      <c r="F5">
        <v>73119.874383268907</v>
      </c>
      <c r="G5">
        <v>3.0282222863399699</v>
      </c>
      <c r="H5">
        <v>109123.255690369</v>
      </c>
      <c r="I5">
        <v>3.0926513671875</v>
      </c>
      <c r="J5">
        <v>145128.635409465</v>
      </c>
      <c r="K5">
        <v>3.0323375355109801</v>
      </c>
      <c r="L5">
        <v>181132.02671756499</v>
      </c>
      <c r="M5">
        <v>3.092041015625</v>
      </c>
      <c r="N5">
        <v>217137.42544366</v>
      </c>
      <c r="O5">
        <v>3.0388664476801801</v>
      </c>
      <c r="P5">
        <v>253140.85275275999</v>
      </c>
      <c r="Q5">
        <v>3.092041015625</v>
      </c>
      <c r="R5">
        <v>289146.43848185497</v>
      </c>
      <c r="S5">
        <v>3.0431389086176601</v>
      </c>
      <c r="T5">
        <v>325149.89779095497</v>
      </c>
      <c r="U5">
        <v>3.09234619140625</v>
      </c>
    </row>
    <row r="6" spans="1:21" x14ac:dyDescent="0.2">
      <c r="A6" s="2">
        <v>4</v>
      </c>
      <c r="B6">
        <v>1474.7715137816101</v>
      </c>
      <c r="C6">
        <v>3.1570403744475999</v>
      </c>
      <c r="D6">
        <v>37478.466912880998</v>
      </c>
      <c r="E6">
        <v>3.0731201171875</v>
      </c>
      <c r="F6">
        <v>73483.500644977103</v>
      </c>
      <c r="G6">
        <v>3.0511474609375</v>
      </c>
      <c r="H6">
        <v>109486.881952077</v>
      </c>
      <c r="I6">
        <v>3.07464599609375</v>
      </c>
      <c r="J6">
        <v>145492.26167117301</v>
      </c>
      <c r="K6">
        <v>3.0546554411299902</v>
      </c>
      <c r="L6">
        <v>181495.652979273</v>
      </c>
      <c r="M6">
        <v>3.07403564453125</v>
      </c>
      <c r="N6">
        <v>217501.05170536801</v>
      </c>
      <c r="O6">
        <v>3.06060791015625</v>
      </c>
      <c r="P6">
        <v>253504.479014468</v>
      </c>
      <c r="Q6">
        <v>3.07403564453125</v>
      </c>
      <c r="R6">
        <v>289510.06474356301</v>
      </c>
      <c r="S6">
        <v>3.06396484375</v>
      </c>
      <c r="T6">
        <v>325513.52405266301</v>
      </c>
      <c r="U6">
        <v>3.07388151534873</v>
      </c>
    </row>
    <row r="7" spans="1:21" x14ac:dyDescent="0.2">
      <c r="A7" s="2">
        <v>5</v>
      </c>
      <c r="B7">
        <v>1838.3977754898101</v>
      </c>
      <c r="C7">
        <v>3.15769388218119</v>
      </c>
      <c r="D7">
        <v>37842.093174589201</v>
      </c>
      <c r="E7">
        <v>3.0572509765625</v>
      </c>
      <c r="F7">
        <v>73847.126906685298</v>
      </c>
      <c r="G7">
        <v>3.07098388671875</v>
      </c>
      <c r="H7">
        <v>109850.508213785</v>
      </c>
      <c r="I7">
        <v>3.05938720703125</v>
      </c>
      <c r="J7">
        <v>145855.88793288101</v>
      </c>
      <c r="K7">
        <v>3.0739955709437998</v>
      </c>
      <c r="L7">
        <v>181859.27924098101</v>
      </c>
      <c r="M7">
        <v>3.05908203125</v>
      </c>
      <c r="N7">
        <v>217864.67796707599</v>
      </c>
      <c r="O7">
        <v>3.0794486614188501</v>
      </c>
      <c r="P7">
        <v>253868.10527617601</v>
      </c>
      <c r="Q7">
        <v>3.05877685546875</v>
      </c>
      <c r="R7">
        <v>289873.69100527099</v>
      </c>
      <c r="S7">
        <v>3.08258056640625</v>
      </c>
      <c r="T7">
        <v>325877.15031437099</v>
      </c>
      <c r="U7">
        <v>3.0584716796875</v>
      </c>
    </row>
    <row r="8" spans="1:21" x14ac:dyDescent="0.2">
      <c r="A8" s="2">
        <v>6</v>
      </c>
      <c r="B8">
        <v>2202.0240371979999</v>
      </c>
      <c r="C8">
        <v>3.1586433179450801</v>
      </c>
      <c r="D8">
        <v>38205.719436297397</v>
      </c>
      <c r="E8">
        <v>3.04351806640625</v>
      </c>
      <c r="F8">
        <v>74210.753168393494</v>
      </c>
      <c r="G8">
        <v>3.0879997484612001</v>
      </c>
      <c r="H8">
        <v>110214.134475493</v>
      </c>
      <c r="I8">
        <v>3.0462646484375</v>
      </c>
      <c r="J8">
        <v>146219.51419458899</v>
      </c>
      <c r="K8">
        <v>3.0904411547112001</v>
      </c>
      <c r="L8">
        <v>182222.90550268901</v>
      </c>
      <c r="M8">
        <v>3.04595947265625</v>
      </c>
      <c r="N8">
        <v>218228.30422878399</v>
      </c>
      <c r="O8">
        <v>3.09478759765625</v>
      </c>
      <c r="P8">
        <v>254231.73153788401</v>
      </c>
      <c r="Q8">
        <v>3.04595947265625</v>
      </c>
      <c r="R8">
        <v>290237.31726697902</v>
      </c>
      <c r="S8">
        <v>3.0976913914536501</v>
      </c>
      <c r="T8">
        <v>326240.77657607902</v>
      </c>
      <c r="U8">
        <v>3.0454231031012999</v>
      </c>
    </row>
    <row r="9" spans="1:21" x14ac:dyDescent="0.2">
      <c r="A9" s="2">
        <v>7</v>
      </c>
      <c r="B9">
        <v>2565.6502989061901</v>
      </c>
      <c r="C9">
        <v>3.15899164989741</v>
      </c>
      <c r="D9">
        <v>38569.3456980056</v>
      </c>
      <c r="E9">
        <v>3.03149907275884</v>
      </c>
      <c r="F9">
        <v>74574.379430101704</v>
      </c>
      <c r="G9">
        <v>3.10187754004889</v>
      </c>
      <c r="H9">
        <v>110577.760737201</v>
      </c>
      <c r="I9">
        <v>3.03497314453125</v>
      </c>
      <c r="J9">
        <v>146583.140456297</v>
      </c>
      <c r="K9">
        <v>3.1043651850537399</v>
      </c>
      <c r="L9">
        <v>182586.53176439699</v>
      </c>
      <c r="M9">
        <v>3.0348560063524999</v>
      </c>
      <c r="N9">
        <v>218591.930490492</v>
      </c>
      <c r="O9">
        <v>3.10821533203125</v>
      </c>
      <c r="P9">
        <v>254595.35779959199</v>
      </c>
      <c r="Q9">
        <v>3.03497314453125</v>
      </c>
      <c r="R9">
        <v>290600.943528687</v>
      </c>
      <c r="S9">
        <v>3.1105858388574998</v>
      </c>
      <c r="T9">
        <v>326604.402837787</v>
      </c>
      <c r="U9">
        <v>3.03436279296875</v>
      </c>
    </row>
    <row r="10" spans="1:21" x14ac:dyDescent="0.2">
      <c r="A10" s="2">
        <v>8</v>
      </c>
      <c r="B10">
        <v>2929.2765606143898</v>
      </c>
      <c r="C10">
        <v>3.1594941110321999</v>
      </c>
      <c r="D10">
        <v>38932.971959713803</v>
      </c>
      <c r="E10">
        <v>3.02093505859375</v>
      </c>
      <c r="F10">
        <v>74938.0056918099</v>
      </c>
      <c r="G10">
        <v>3.11279296875</v>
      </c>
      <c r="H10">
        <v>110941.38699891001</v>
      </c>
      <c r="I10">
        <v>3.02490234375</v>
      </c>
      <c r="J10">
        <v>146946.76671800599</v>
      </c>
      <c r="K10">
        <v>3.1152405401675698</v>
      </c>
      <c r="L10">
        <v>182950.15802610599</v>
      </c>
      <c r="M10">
        <v>3.02520751953125</v>
      </c>
      <c r="N10">
        <v>218955.556752201</v>
      </c>
      <c r="O10">
        <v>3.1186005563451098</v>
      </c>
      <c r="P10">
        <v>254958.98406130099</v>
      </c>
      <c r="Q10">
        <v>3.02520751953125</v>
      </c>
      <c r="R10">
        <v>290964.56979039602</v>
      </c>
      <c r="S10">
        <v>3.1210388800112998</v>
      </c>
      <c r="T10">
        <v>326968.02909949602</v>
      </c>
      <c r="U10">
        <v>3.02459716796875</v>
      </c>
    </row>
    <row r="11" spans="1:21" x14ac:dyDescent="0.2">
      <c r="A11" s="2">
        <v>9</v>
      </c>
      <c r="B11">
        <v>3292.9028223225801</v>
      </c>
      <c r="C11">
        <v>3.1607887961647698</v>
      </c>
      <c r="D11">
        <v>39296.598221421998</v>
      </c>
      <c r="E11">
        <v>3.0120849609375</v>
      </c>
      <c r="F11">
        <v>75301.631953518096</v>
      </c>
      <c r="G11">
        <v>3.1219482421875</v>
      </c>
      <c r="H11">
        <v>111305.013260618</v>
      </c>
      <c r="I11">
        <v>3.016357421875</v>
      </c>
      <c r="J11">
        <v>147310.392979714</v>
      </c>
      <c r="K11">
        <v>3.1242786754262202</v>
      </c>
      <c r="L11">
        <v>183313.78428781399</v>
      </c>
      <c r="M11">
        <v>3.01666259765625</v>
      </c>
      <c r="N11">
        <v>219319.183013909</v>
      </c>
      <c r="O11">
        <v>3.12835693359375</v>
      </c>
      <c r="P11">
        <v>255322.61032300899</v>
      </c>
      <c r="Q11">
        <v>3.0169677734375</v>
      </c>
      <c r="R11">
        <v>291328.196052104</v>
      </c>
      <c r="S11">
        <v>3.1298828125</v>
      </c>
      <c r="T11">
        <v>327331.655361204</v>
      </c>
      <c r="U11">
        <v>3.016357421875</v>
      </c>
    </row>
    <row r="12" spans="1:21" x14ac:dyDescent="0.2">
      <c r="A12" s="2">
        <v>10</v>
      </c>
      <c r="B12">
        <v>3656.5290840307798</v>
      </c>
      <c r="C12">
        <v>3.1611710365372501</v>
      </c>
      <c r="D12">
        <v>39660.224483130201</v>
      </c>
      <c r="E12">
        <v>3.0043754192313799</v>
      </c>
      <c r="F12">
        <v>75665.258215226306</v>
      </c>
      <c r="G12">
        <v>3.1293526081124101</v>
      </c>
      <c r="H12">
        <v>111668.639522326</v>
      </c>
      <c r="I12">
        <v>3.009033203125</v>
      </c>
      <c r="J12">
        <v>147674.01924142201</v>
      </c>
      <c r="K12">
        <v>3.1317292801058398</v>
      </c>
      <c r="L12">
        <v>183677.410549522</v>
      </c>
      <c r="M12">
        <v>3.00933837890625</v>
      </c>
      <c r="N12">
        <v>219682.80927561701</v>
      </c>
      <c r="O12">
        <v>3.13584144669354</v>
      </c>
      <c r="P12">
        <v>255686.236584717</v>
      </c>
      <c r="Q12">
        <v>3.00994873046875</v>
      </c>
      <c r="R12">
        <v>291691.82231381198</v>
      </c>
      <c r="S12">
        <v>3.1375923542061499</v>
      </c>
      <c r="T12">
        <v>327695.28162291198</v>
      </c>
      <c r="U12">
        <v>3.00933837890625</v>
      </c>
    </row>
    <row r="13" spans="1:21" x14ac:dyDescent="0.2">
      <c r="A13" s="2">
        <v>11</v>
      </c>
      <c r="B13">
        <v>4020.15534573897</v>
      </c>
      <c r="C13">
        <v>3.16192626953125</v>
      </c>
      <c r="D13">
        <v>40023.850744838302</v>
      </c>
      <c r="E13">
        <v>2.9974365234375</v>
      </c>
      <c r="F13">
        <v>76028.884476934501</v>
      </c>
      <c r="G13">
        <v>3.1353081597222898</v>
      </c>
      <c r="H13">
        <v>112032.265784034</v>
      </c>
      <c r="I13">
        <v>3.00262451171875</v>
      </c>
      <c r="J13">
        <v>148037.64550313001</v>
      </c>
      <c r="K13">
        <v>3.138427734375</v>
      </c>
      <c r="L13">
        <v>184041.03681123001</v>
      </c>
      <c r="M13">
        <v>3.0029296875</v>
      </c>
      <c r="N13">
        <v>220046.43553732499</v>
      </c>
      <c r="O13">
        <v>3.14208984375</v>
      </c>
      <c r="P13">
        <v>256049.86284642501</v>
      </c>
      <c r="Q13">
        <v>3.0035400390625</v>
      </c>
      <c r="R13">
        <v>292055.44857552001</v>
      </c>
      <c r="S13">
        <v>3.1439208984375</v>
      </c>
      <c r="T13">
        <v>328058.90788462001</v>
      </c>
      <c r="U13">
        <v>3.0029296875</v>
      </c>
    </row>
    <row r="14" spans="1:21" x14ac:dyDescent="0.2">
      <c r="A14" s="2">
        <v>12</v>
      </c>
      <c r="B14">
        <v>4383.7816074471702</v>
      </c>
      <c r="C14">
        <v>3.1614823774857999</v>
      </c>
      <c r="D14">
        <v>40387.477006546498</v>
      </c>
      <c r="E14">
        <v>2.99163818359375</v>
      </c>
      <c r="F14">
        <v>76392.510738642697</v>
      </c>
      <c r="G14">
        <v>3.1385849461411199</v>
      </c>
      <c r="H14">
        <v>112395.892045742</v>
      </c>
      <c r="I14">
        <v>2.996826171875</v>
      </c>
      <c r="J14">
        <v>148401.27176483799</v>
      </c>
      <c r="K14">
        <v>3.1433197946260498</v>
      </c>
      <c r="L14">
        <v>184404.66307293801</v>
      </c>
      <c r="M14">
        <v>2.9974365234375</v>
      </c>
      <c r="N14">
        <v>220410.06179903299</v>
      </c>
      <c r="O14">
        <v>3.1466582327177002</v>
      </c>
      <c r="P14">
        <v>256413.48910813301</v>
      </c>
      <c r="Q14">
        <v>2.998046875</v>
      </c>
      <c r="R14">
        <v>292419.07483722799</v>
      </c>
      <c r="S14">
        <v>3.1480546431109402</v>
      </c>
      <c r="T14">
        <v>328422.53414632799</v>
      </c>
      <c r="U14">
        <v>2.9974365234375</v>
      </c>
    </row>
    <row r="15" spans="1:21" x14ac:dyDescent="0.2">
      <c r="A15" s="2">
        <v>13</v>
      </c>
      <c r="B15">
        <v>4747.4078691553595</v>
      </c>
      <c r="C15">
        <v>3.1606192540640801</v>
      </c>
      <c r="D15">
        <v>40751.103268254701</v>
      </c>
      <c r="E15">
        <v>2.9864501953125</v>
      </c>
      <c r="F15">
        <v>76756.137000350893</v>
      </c>
      <c r="G15">
        <v>3.14235186336012</v>
      </c>
      <c r="H15">
        <v>112759.518307451</v>
      </c>
      <c r="I15">
        <v>2.991943359375</v>
      </c>
      <c r="J15">
        <v>148764.89802654699</v>
      </c>
      <c r="K15">
        <v>3.14692950007881</v>
      </c>
      <c r="L15">
        <v>184768.28933464701</v>
      </c>
      <c r="M15">
        <v>2.9925537109375</v>
      </c>
      <c r="N15">
        <v>220773.68806074199</v>
      </c>
      <c r="O15">
        <v>3.15006757023369</v>
      </c>
      <c r="P15">
        <v>256777.11536984201</v>
      </c>
      <c r="Q15">
        <v>2.9931640625</v>
      </c>
      <c r="R15">
        <v>292782.70109893702</v>
      </c>
      <c r="S15">
        <v>3.15155029296875</v>
      </c>
      <c r="T15">
        <v>328786.16040803702</v>
      </c>
      <c r="U15">
        <v>2.9925537109375</v>
      </c>
    </row>
    <row r="16" spans="1:21" x14ac:dyDescent="0.2">
      <c r="A16" s="2">
        <v>14</v>
      </c>
      <c r="B16">
        <v>5111.0341308635598</v>
      </c>
      <c r="C16">
        <v>3.15986093848643</v>
      </c>
      <c r="D16">
        <v>41114.729529962897</v>
      </c>
      <c r="E16">
        <v>2.98187255859375</v>
      </c>
      <c r="F16">
        <v>77119.763262059103</v>
      </c>
      <c r="G16">
        <v>3.14490732520514</v>
      </c>
      <c r="H16">
        <v>113123.14456915901</v>
      </c>
      <c r="I16">
        <v>2.98736572265625</v>
      </c>
      <c r="J16">
        <v>149128.52428825499</v>
      </c>
      <c r="K16">
        <v>3.14925068556642</v>
      </c>
      <c r="L16">
        <v>185131.91559635499</v>
      </c>
      <c r="M16">
        <v>2.9880469736425801</v>
      </c>
      <c r="N16">
        <v>221137.31432244999</v>
      </c>
      <c r="O16">
        <v>3.15323954880858</v>
      </c>
      <c r="P16">
        <v>257140.74163154999</v>
      </c>
      <c r="Q16">
        <v>2.9888916015625</v>
      </c>
      <c r="R16">
        <v>293146.32736064499</v>
      </c>
      <c r="S16">
        <v>3.1546729502050801</v>
      </c>
      <c r="T16">
        <v>329149.78666974499</v>
      </c>
      <c r="U16">
        <v>2.98828125</v>
      </c>
    </row>
    <row r="17" spans="1:21" x14ac:dyDescent="0.2">
      <c r="A17" s="2">
        <v>15</v>
      </c>
      <c r="B17">
        <v>5474.66039257175</v>
      </c>
      <c r="C17">
        <v>3.15948486328125</v>
      </c>
      <c r="D17">
        <v>41478.3557916711</v>
      </c>
      <c r="E17">
        <v>2.9779052734375</v>
      </c>
      <c r="F17">
        <v>77483.389523767299</v>
      </c>
      <c r="G17">
        <v>3.1473980527936001</v>
      </c>
      <c r="H17">
        <v>113486.770830867</v>
      </c>
      <c r="I17">
        <v>2.9833984375</v>
      </c>
      <c r="J17">
        <v>149492.150549963</v>
      </c>
      <c r="K17">
        <v>3.15185546875</v>
      </c>
      <c r="L17">
        <v>185495.54185806299</v>
      </c>
      <c r="M17">
        <v>2.98431396484375</v>
      </c>
      <c r="N17">
        <v>221500.940584158</v>
      </c>
      <c r="O17">
        <v>3.1550921815813999</v>
      </c>
      <c r="P17">
        <v>257504.36789325799</v>
      </c>
      <c r="Q17">
        <v>2.98492431640625</v>
      </c>
      <c r="R17">
        <v>293509.95362235297</v>
      </c>
      <c r="S17">
        <v>3.1569232362689101</v>
      </c>
      <c r="T17">
        <v>329513.41293145297</v>
      </c>
      <c r="U17">
        <v>2.98431396484375</v>
      </c>
    </row>
    <row r="18" spans="1:21" x14ac:dyDescent="0.2">
      <c r="A18" s="2">
        <v>16</v>
      </c>
      <c r="B18">
        <v>5838.2866542799502</v>
      </c>
      <c r="C18">
        <v>3.1591858526672998</v>
      </c>
      <c r="D18">
        <v>41841.982053379303</v>
      </c>
      <c r="E18">
        <v>2.9742431640625</v>
      </c>
      <c r="F18">
        <v>77847.015785475494</v>
      </c>
      <c r="G18">
        <v>3.1488037109375</v>
      </c>
      <c r="H18">
        <v>113850.397092575</v>
      </c>
      <c r="I18">
        <v>2.979736328125</v>
      </c>
      <c r="J18">
        <v>149855.77681167101</v>
      </c>
      <c r="K18">
        <v>3.1533751824889702</v>
      </c>
      <c r="L18">
        <v>185859.168119771</v>
      </c>
      <c r="M18">
        <v>2.98065185546875</v>
      </c>
      <c r="N18">
        <v>221864.56684586601</v>
      </c>
      <c r="O18">
        <v>3.1558474145753501</v>
      </c>
      <c r="P18">
        <v>257867.994154966</v>
      </c>
      <c r="Q18">
        <v>2.9815673828125</v>
      </c>
      <c r="R18">
        <v>293873.57988406101</v>
      </c>
      <c r="S18">
        <v>3.1585755011047798</v>
      </c>
      <c r="T18">
        <v>329877.03919316101</v>
      </c>
      <c r="U18">
        <v>2.98095703125</v>
      </c>
    </row>
    <row r="19" spans="1:21" x14ac:dyDescent="0.2">
      <c r="A19" s="2">
        <v>17</v>
      </c>
      <c r="B19">
        <v>6201.9129159881404</v>
      </c>
      <c r="C19">
        <v>3.15887451171875</v>
      </c>
      <c r="D19">
        <v>42205.608315087498</v>
      </c>
      <c r="E19">
        <v>2.97149658203125</v>
      </c>
      <c r="F19">
        <v>78210.642047183705</v>
      </c>
      <c r="G19">
        <v>3.1501323044901799</v>
      </c>
      <c r="H19">
        <v>114214.023354283</v>
      </c>
      <c r="I19">
        <v>2.9766845703125</v>
      </c>
      <c r="J19">
        <v>150219.40307337901</v>
      </c>
      <c r="K19">
        <v>3.154296875</v>
      </c>
      <c r="L19">
        <v>186222.79438147901</v>
      </c>
      <c r="M19">
        <v>2.97760009765625</v>
      </c>
      <c r="N19">
        <v>222228.19310757401</v>
      </c>
      <c r="O19">
        <v>3.1580483793008698</v>
      </c>
      <c r="P19">
        <v>258231.62041667401</v>
      </c>
      <c r="Q19">
        <v>2.978515625</v>
      </c>
      <c r="R19">
        <v>294237.20614576899</v>
      </c>
      <c r="S19">
        <v>3.1595927537089401</v>
      </c>
      <c r="T19">
        <v>330240.66545486898</v>
      </c>
      <c r="U19">
        <v>2.9779052734375</v>
      </c>
    </row>
    <row r="20" spans="1:21" x14ac:dyDescent="0.2">
      <c r="A20" s="2">
        <v>18</v>
      </c>
      <c r="B20">
        <v>6565.5391776963397</v>
      </c>
      <c r="C20">
        <v>3.1586525656960198</v>
      </c>
      <c r="D20">
        <v>42569.234576795701</v>
      </c>
      <c r="E20">
        <v>2.96905517578125</v>
      </c>
      <c r="F20">
        <v>78574.2683088919</v>
      </c>
      <c r="G20">
        <v>3.1508567116476902</v>
      </c>
      <c r="H20">
        <v>114577.64961599201</v>
      </c>
      <c r="I20">
        <v>2.9738547585228101</v>
      </c>
      <c r="J20">
        <v>150583.02933508699</v>
      </c>
      <c r="K20">
        <v>3.1556008078836002</v>
      </c>
      <c r="L20">
        <v>186586.42064318701</v>
      </c>
      <c r="M20">
        <v>2.974853515625</v>
      </c>
      <c r="N20">
        <v>222591.81936928199</v>
      </c>
      <c r="O20">
        <v>3.1590964577413998</v>
      </c>
      <c r="P20">
        <v>258595.24667838201</v>
      </c>
      <c r="Q20">
        <v>2.97576904296875</v>
      </c>
      <c r="R20">
        <v>294600.83240747702</v>
      </c>
      <c r="S20">
        <v>3.1597900390625</v>
      </c>
      <c r="T20">
        <v>330604.29171657702</v>
      </c>
      <c r="U20">
        <v>2.97515869140625</v>
      </c>
    </row>
    <row r="21" spans="1:21" x14ac:dyDescent="0.2">
      <c r="A21" s="2">
        <v>19</v>
      </c>
      <c r="B21">
        <v>6929.1654394045299</v>
      </c>
      <c r="C21">
        <v>3.1585385101010099</v>
      </c>
      <c r="D21">
        <v>42932.860838503897</v>
      </c>
      <c r="E21">
        <v>2.9669189453125</v>
      </c>
      <c r="F21">
        <v>78937.894570600096</v>
      </c>
      <c r="G21">
        <v>3.1523733428031502</v>
      </c>
      <c r="H21">
        <v>114941.2758777</v>
      </c>
      <c r="I21">
        <v>2.97119140625</v>
      </c>
      <c r="J21">
        <v>150946.65559679599</v>
      </c>
      <c r="K21">
        <v>3.1558844055790201</v>
      </c>
      <c r="L21">
        <v>186950.04690489601</v>
      </c>
      <c r="M21">
        <v>2.97210693359375</v>
      </c>
      <c r="N21">
        <v>222955.44563099099</v>
      </c>
      <c r="O21">
        <v>3.1598208648988901</v>
      </c>
      <c r="P21">
        <v>258958.87294009101</v>
      </c>
      <c r="Q21">
        <v>2.97332763671875</v>
      </c>
      <c r="R21">
        <v>294964.45866918599</v>
      </c>
      <c r="S21">
        <v>3.1610107421875</v>
      </c>
      <c r="T21">
        <v>330967.91797828599</v>
      </c>
      <c r="U21">
        <v>2.972412109375</v>
      </c>
    </row>
    <row r="22" spans="1:21" x14ac:dyDescent="0.2">
      <c r="A22" s="2">
        <v>20</v>
      </c>
      <c r="B22">
        <v>7292.7917011127302</v>
      </c>
      <c r="C22">
        <v>3.15887451171875</v>
      </c>
      <c r="D22">
        <v>43296.4871002121</v>
      </c>
      <c r="E22">
        <v>2.965087890625</v>
      </c>
      <c r="F22">
        <v>79301.520832308306</v>
      </c>
      <c r="G22">
        <v>3.15277099609375</v>
      </c>
      <c r="H22">
        <v>115304.902139408</v>
      </c>
      <c r="I22">
        <v>2.96905517578125</v>
      </c>
      <c r="J22">
        <v>151310.28185850399</v>
      </c>
      <c r="K22">
        <v>3.15688316268146</v>
      </c>
      <c r="L22">
        <v>187313.67316660401</v>
      </c>
      <c r="M22">
        <v>2.969970703125</v>
      </c>
      <c r="N22">
        <v>223319.07189269899</v>
      </c>
      <c r="O22">
        <v>3.16024009627521</v>
      </c>
      <c r="P22">
        <v>259322.49920179899</v>
      </c>
      <c r="Q22">
        <v>2.97119140625</v>
      </c>
      <c r="R22">
        <v>295328.08493089402</v>
      </c>
      <c r="S22">
        <v>3.1614607994002002</v>
      </c>
      <c r="T22">
        <v>331331.54423999402</v>
      </c>
      <c r="U22">
        <v>2.97027587890625</v>
      </c>
    </row>
    <row r="23" spans="1:21" x14ac:dyDescent="0.2">
      <c r="A23" s="2">
        <v>21</v>
      </c>
      <c r="B23">
        <v>7656.4179628209204</v>
      </c>
      <c r="C23">
        <v>3.1587357954545499</v>
      </c>
      <c r="D23">
        <v>43660.113361920303</v>
      </c>
      <c r="E23">
        <v>2.9638671875</v>
      </c>
      <c r="F23">
        <v>79665.147094016502</v>
      </c>
      <c r="G23">
        <v>3.1531224106297802</v>
      </c>
      <c r="H23">
        <v>115668.528401116</v>
      </c>
      <c r="I23">
        <v>2.96722412109375</v>
      </c>
      <c r="J23">
        <v>151673.908120212</v>
      </c>
      <c r="K23">
        <v>3.1574411103219502</v>
      </c>
      <c r="L23">
        <v>187677.29942831199</v>
      </c>
      <c r="M23">
        <v>2.9681396484375</v>
      </c>
      <c r="N23">
        <v>223682.698154407</v>
      </c>
      <c r="O23">
        <v>3.16070556640625</v>
      </c>
      <c r="P23">
        <v>259686.12546350699</v>
      </c>
      <c r="Q23">
        <v>2.96905517578125</v>
      </c>
      <c r="R23">
        <v>295691.711192602</v>
      </c>
      <c r="S23">
        <v>3.16192626953125</v>
      </c>
      <c r="T23">
        <v>331695.170501702</v>
      </c>
      <c r="U23">
        <v>2.9681396484375</v>
      </c>
    </row>
    <row r="24" spans="1:21" x14ac:dyDescent="0.2">
      <c r="A24" s="2">
        <v>22</v>
      </c>
      <c r="B24">
        <v>8020.0442245291097</v>
      </c>
      <c r="C24">
        <v>3.157958984375</v>
      </c>
      <c r="D24">
        <v>44023.739623628499</v>
      </c>
      <c r="E24">
        <v>2.96295166015625</v>
      </c>
      <c r="F24">
        <v>80028.773355724697</v>
      </c>
      <c r="G24">
        <v>3.1537543402777302</v>
      </c>
      <c r="H24">
        <v>116032.154662824</v>
      </c>
      <c r="I24">
        <v>2.9656982421875</v>
      </c>
      <c r="J24">
        <v>152037.53438192001</v>
      </c>
      <c r="K24">
        <v>3.1581963433159701</v>
      </c>
      <c r="L24">
        <v>188040.92569002</v>
      </c>
      <c r="M24">
        <v>2.96630859375</v>
      </c>
      <c r="N24">
        <v>224046.32441611501</v>
      </c>
      <c r="O24">
        <v>3.1614515516493098</v>
      </c>
      <c r="P24">
        <v>260049.751725215</v>
      </c>
      <c r="Q24">
        <v>2.967529296875</v>
      </c>
      <c r="R24">
        <v>296055.33745430998</v>
      </c>
      <c r="S24">
        <v>3.1618584526909701</v>
      </c>
      <c r="T24">
        <v>332058.79676340998</v>
      </c>
      <c r="U24">
        <v>2.96661376953125</v>
      </c>
    </row>
    <row r="25" spans="1:21" x14ac:dyDescent="0.2">
      <c r="A25" s="2">
        <v>23</v>
      </c>
      <c r="B25">
        <v>8383.6704862373099</v>
      </c>
      <c r="C25">
        <v>3.15759523950442</v>
      </c>
      <c r="D25">
        <v>44387.365885336701</v>
      </c>
      <c r="E25">
        <v>2.9620361328125</v>
      </c>
      <c r="F25">
        <v>80392.399617432893</v>
      </c>
      <c r="G25">
        <v>3.1544787474352498</v>
      </c>
      <c r="H25">
        <v>116395.780924533</v>
      </c>
      <c r="I25">
        <v>2.9644775390625</v>
      </c>
      <c r="J25">
        <v>152401.16064362801</v>
      </c>
      <c r="K25">
        <v>3.1587512083727298</v>
      </c>
      <c r="L25">
        <v>188404.551951728</v>
      </c>
      <c r="M25">
        <v>2.965087890625</v>
      </c>
      <c r="N25">
        <v>224409.95067782301</v>
      </c>
      <c r="O25">
        <v>3.16162109375</v>
      </c>
      <c r="P25">
        <v>260413.37798692301</v>
      </c>
      <c r="Q25">
        <v>2.96600341796875</v>
      </c>
      <c r="R25">
        <v>296418.96371601801</v>
      </c>
      <c r="S25">
        <v>3.1629003659642101</v>
      </c>
      <c r="T25">
        <v>332422.42302511801</v>
      </c>
      <c r="U25">
        <v>2.965087890625</v>
      </c>
    </row>
    <row r="26" spans="1:21" x14ac:dyDescent="0.2">
      <c r="A26" s="2">
        <v>24</v>
      </c>
      <c r="B26">
        <v>8747.2967479455001</v>
      </c>
      <c r="C26">
        <v>3.1582456646543502</v>
      </c>
      <c r="D26">
        <v>44750.992147044897</v>
      </c>
      <c r="E26">
        <v>2.96112060546875</v>
      </c>
      <c r="F26">
        <v>80756.025879141103</v>
      </c>
      <c r="G26">
        <v>3.1543061227509899</v>
      </c>
      <c r="H26">
        <v>116759.40718624101</v>
      </c>
      <c r="I26">
        <v>2.96356201171875</v>
      </c>
      <c r="J26">
        <v>152764.78690533701</v>
      </c>
      <c r="K26">
        <v>3.1585970791906601</v>
      </c>
      <c r="L26">
        <v>188768.178213437</v>
      </c>
      <c r="M26">
        <v>2.9638671875</v>
      </c>
      <c r="N26">
        <v>224773.57693953201</v>
      </c>
      <c r="O26">
        <v>3.1622221975614502</v>
      </c>
      <c r="P26">
        <v>260777.004248632</v>
      </c>
      <c r="Q26">
        <v>2.96478271484375</v>
      </c>
      <c r="R26">
        <v>296782.58997772698</v>
      </c>
      <c r="S26">
        <v>3.1628325491239502</v>
      </c>
      <c r="T26">
        <v>332786.04928682698</v>
      </c>
      <c r="U26">
        <v>2.96356201171875</v>
      </c>
    </row>
    <row r="27" spans="1:21" x14ac:dyDescent="0.2">
      <c r="A27" s="2">
        <v>25</v>
      </c>
      <c r="B27">
        <v>9110.9230096536994</v>
      </c>
      <c r="C27">
        <v>3.1582549124053099</v>
      </c>
      <c r="D27">
        <v>45114.6184087531</v>
      </c>
      <c r="E27">
        <v>2.960205078125</v>
      </c>
      <c r="F27">
        <v>81119.652140849299</v>
      </c>
      <c r="G27">
        <v>3.15449724293723</v>
      </c>
      <c r="H27">
        <v>117123.033447949</v>
      </c>
      <c r="I27">
        <v>2.962646484375</v>
      </c>
      <c r="J27">
        <v>153128.41316704499</v>
      </c>
      <c r="K27">
        <v>3.15948486328125</v>
      </c>
      <c r="L27">
        <v>189131.80447514501</v>
      </c>
      <c r="M27">
        <v>2.96295166015625</v>
      </c>
      <c r="N27">
        <v>225137.20320123999</v>
      </c>
      <c r="O27">
        <v>3.16252737334298</v>
      </c>
      <c r="P27">
        <v>261140.63051034001</v>
      </c>
      <c r="Q27">
        <v>2.96356201171875</v>
      </c>
      <c r="R27">
        <v>297146.21623943502</v>
      </c>
      <c r="S27">
        <v>3.1634521484375</v>
      </c>
      <c r="T27">
        <v>333149.67554853501</v>
      </c>
      <c r="U27">
        <v>2.962646484375</v>
      </c>
    </row>
    <row r="28" spans="1:21" x14ac:dyDescent="0.2">
      <c r="A28" s="2">
        <v>26</v>
      </c>
      <c r="B28">
        <v>9474.5492713618896</v>
      </c>
      <c r="C28">
        <v>3.15765380859375</v>
      </c>
      <c r="D28">
        <v>45478.244670461303</v>
      </c>
      <c r="E28">
        <v>2.9595947265625</v>
      </c>
      <c r="F28">
        <v>81483.278402557495</v>
      </c>
      <c r="G28">
        <v>3.1549935389047201</v>
      </c>
      <c r="H28">
        <v>117486.659709657</v>
      </c>
      <c r="I28">
        <v>2.9620361328125</v>
      </c>
      <c r="J28">
        <v>153492.03942875299</v>
      </c>
      <c r="K28">
        <v>3.1597900390625</v>
      </c>
      <c r="L28">
        <v>189495.43073685301</v>
      </c>
      <c r="M28">
        <v>2.9620361328125</v>
      </c>
      <c r="N28">
        <v>225500.82946294799</v>
      </c>
      <c r="O28">
        <v>3.1624040699968399</v>
      </c>
      <c r="P28">
        <v>261504.25677204799</v>
      </c>
      <c r="Q28">
        <v>2.962646484375</v>
      </c>
      <c r="R28">
        <v>297509.84250114299</v>
      </c>
      <c r="S28">
        <v>3.1632795237531499</v>
      </c>
      <c r="T28">
        <v>333513.30181024299</v>
      </c>
      <c r="U28">
        <v>2.96142578125</v>
      </c>
    </row>
    <row r="29" spans="1:21" x14ac:dyDescent="0.2">
      <c r="A29" s="2">
        <v>27</v>
      </c>
      <c r="B29">
        <v>9838.1755330700908</v>
      </c>
      <c r="C29">
        <v>3.15826416015625</v>
      </c>
      <c r="D29">
        <v>45841.870932169499</v>
      </c>
      <c r="E29">
        <v>2.95867919921875</v>
      </c>
      <c r="F29">
        <v>81846.904664265705</v>
      </c>
      <c r="G29">
        <v>3.15557306463058</v>
      </c>
      <c r="H29">
        <v>117850.285971365</v>
      </c>
      <c r="I29">
        <v>2.96142578125</v>
      </c>
      <c r="J29">
        <v>153855.665690461</v>
      </c>
      <c r="K29">
        <v>3.1601229580966201</v>
      </c>
      <c r="L29">
        <v>189859.05699856099</v>
      </c>
      <c r="M29">
        <v>2.96142578125</v>
      </c>
      <c r="N29">
        <v>225864.455724656</v>
      </c>
      <c r="O29">
        <v>3.1630914861505102</v>
      </c>
      <c r="P29">
        <v>261867.88303375599</v>
      </c>
      <c r="Q29">
        <v>2.9620361328125</v>
      </c>
      <c r="R29">
        <v>297873.46876285097</v>
      </c>
      <c r="S29">
        <v>3.1637018377130102</v>
      </c>
      <c r="T29">
        <v>333876.92807195103</v>
      </c>
      <c r="U29">
        <v>2.9608154296875</v>
      </c>
    </row>
    <row r="30" spans="1:21" x14ac:dyDescent="0.2">
      <c r="A30" s="2">
        <v>28</v>
      </c>
      <c r="B30">
        <v>10201.801794778299</v>
      </c>
      <c r="C30">
        <v>3.1579805624605202</v>
      </c>
      <c r="D30">
        <v>46205.497193877702</v>
      </c>
      <c r="E30">
        <v>2.957763671875</v>
      </c>
      <c r="F30">
        <v>82210.530925973901</v>
      </c>
      <c r="G30">
        <v>3.1556809550584402</v>
      </c>
      <c r="H30">
        <v>118213.91223307401</v>
      </c>
      <c r="I30">
        <v>2.9608154296875</v>
      </c>
      <c r="J30">
        <v>154219.29195216901</v>
      </c>
      <c r="K30">
        <v>3.1605206113872399</v>
      </c>
      <c r="L30">
        <v>190222.683260269</v>
      </c>
      <c r="M30">
        <v>2.9608154296875</v>
      </c>
      <c r="N30">
        <v>226228.08198636401</v>
      </c>
      <c r="O30">
        <v>3.1634305703519101</v>
      </c>
      <c r="P30">
        <v>262231.50929546403</v>
      </c>
      <c r="Q30">
        <v>2.9612624043165701</v>
      </c>
      <c r="R30">
        <v>298237.09502455901</v>
      </c>
      <c r="S30">
        <v>3.1637789023046601</v>
      </c>
      <c r="T30">
        <v>334240.55433365901</v>
      </c>
      <c r="U30">
        <v>2.95989990234375</v>
      </c>
    </row>
    <row r="31" spans="1:21" x14ac:dyDescent="0.2">
      <c r="A31" s="2">
        <v>29</v>
      </c>
      <c r="B31">
        <v>10565.4280564865</v>
      </c>
      <c r="C31">
        <v>3.1585200145991199</v>
      </c>
      <c r="D31">
        <v>46569.123455585897</v>
      </c>
      <c r="E31">
        <v>2.9571533203125</v>
      </c>
      <c r="F31">
        <v>82574.157187682096</v>
      </c>
      <c r="G31">
        <v>3.1559213965831199</v>
      </c>
      <c r="H31">
        <v>118577.538494782</v>
      </c>
      <c r="I31">
        <v>2.960205078125</v>
      </c>
      <c r="J31">
        <v>154582.918213878</v>
      </c>
      <c r="K31">
        <v>3.16065624506779</v>
      </c>
      <c r="L31">
        <v>190586.30952197799</v>
      </c>
      <c r="M31">
        <v>2.960205078125</v>
      </c>
      <c r="N31">
        <v>226591.708248073</v>
      </c>
      <c r="O31">
        <v>3.16319629399471</v>
      </c>
      <c r="P31">
        <v>262595.13555717299</v>
      </c>
      <c r="Q31">
        <v>2.9608154296875</v>
      </c>
      <c r="R31">
        <v>298600.72128626797</v>
      </c>
      <c r="S31">
        <v>3.1642197117658402</v>
      </c>
      <c r="T31">
        <v>334604.18059536797</v>
      </c>
      <c r="U31">
        <v>2.95928955078125</v>
      </c>
    </row>
    <row r="32" spans="1:21" x14ac:dyDescent="0.2">
      <c r="A32" s="2">
        <v>30</v>
      </c>
      <c r="B32">
        <v>10929.0543181947</v>
      </c>
      <c r="C32">
        <v>3.15850460168086</v>
      </c>
      <c r="D32">
        <v>46932.7497172941</v>
      </c>
      <c r="E32">
        <v>2.95623779296875</v>
      </c>
      <c r="F32">
        <v>82937.783449390306</v>
      </c>
      <c r="G32">
        <v>3.15619266394408</v>
      </c>
      <c r="H32">
        <v>118941.16475649</v>
      </c>
      <c r="I32">
        <v>2.95928955078125</v>
      </c>
      <c r="J32">
        <v>154946.54447558601</v>
      </c>
      <c r="K32">
        <v>3.1611402107006201</v>
      </c>
      <c r="L32">
        <v>190949.935783686</v>
      </c>
      <c r="M32">
        <v>2.9595947265625</v>
      </c>
      <c r="N32">
        <v>226955.33450978101</v>
      </c>
      <c r="O32">
        <v>3.1635168826940601</v>
      </c>
      <c r="P32">
        <v>262958.76181888097</v>
      </c>
      <c r="Q32">
        <v>2.960205078125</v>
      </c>
      <c r="R32">
        <v>298964.34754797601</v>
      </c>
      <c r="S32">
        <v>3.1635168826940498</v>
      </c>
      <c r="T32">
        <v>334967.80685707601</v>
      </c>
      <c r="U32">
        <v>2.95867919921875</v>
      </c>
    </row>
    <row r="33" spans="1:21" x14ac:dyDescent="0.2">
      <c r="A33" s="2">
        <v>31</v>
      </c>
      <c r="B33">
        <v>11292.680579902901</v>
      </c>
      <c r="C33">
        <v>3.1585169320154698</v>
      </c>
      <c r="D33">
        <v>47296.375979002201</v>
      </c>
      <c r="E33">
        <v>2.95562744140625</v>
      </c>
      <c r="F33">
        <v>83301.409711098502</v>
      </c>
      <c r="G33">
        <v>3.15704345703125</v>
      </c>
      <c r="H33">
        <v>119304.791018198</v>
      </c>
      <c r="I33">
        <v>2.95867919921875</v>
      </c>
      <c r="J33">
        <v>155310.17073729401</v>
      </c>
      <c r="K33">
        <v>3.1613683218907398</v>
      </c>
      <c r="L33">
        <v>191313.56204539401</v>
      </c>
      <c r="M33">
        <v>2.958984375</v>
      </c>
      <c r="N33">
        <v>227318.96077148899</v>
      </c>
      <c r="O33">
        <v>3.16386213206273</v>
      </c>
      <c r="P33">
        <v>263322.38808058901</v>
      </c>
      <c r="Q33">
        <v>2.9595947265625</v>
      </c>
      <c r="R33">
        <v>299327.97380968399</v>
      </c>
      <c r="S33">
        <v>3.16442007970327</v>
      </c>
      <c r="T33">
        <v>335331.43311878399</v>
      </c>
      <c r="U33">
        <v>2.9583740234375</v>
      </c>
    </row>
    <row r="34" spans="1:21" x14ac:dyDescent="0.2">
      <c r="A34" s="2">
        <v>32</v>
      </c>
      <c r="B34">
        <v>11656.3068416111</v>
      </c>
      <c r="C34">
        <v>3.1594602026120802</v>
      </c>
      <c r="D34">
        <v>47660.002240710397</v>
      </c>
      <c r="E34">
        <v>2.95501708984375</v>
      </c>
      <c r="F34">
        <v>83665.035972806698</v>
      </c>
      <c r="G34">
        <v>3.1573239721432098</v>
      </c>
      <c r="H34">
        <v>119668.417279906</v>
      </c>
      <c r="I34">
        <v>2.95806884765625</v>
      </c>
      <c r="J34">
        <v>155673.79699900199</v>
      </c>
      <c r="K34">
        <v>3.1619139391967002</v>
      </c>
      <c r="L34">
        <v>191677.18830710201</v>
      </c>
      <c r="M34">
        <v>2.9583740234375</v>
      </c>
      <c r="N34">
        <v>227682.58703319699</v>
      </c>
      <c r="O34">
        <v>3.1637449938842002</v>
      </c>
      <c r="P34">
        <v>263686.01434229698</v>
      </c>
      <c r="Q34">
        <v>2.958984375</v>
      </c>
      <c r="R34">
        <v>299691.60007139202</v>
      </c>
      <c r="S34">
        <v>3.1637819848878501</v>
      </c>
      <c r="T34">
        <v>335695.05938049202</v>
      </c>
      <c r="U34">
        <v>2.957763671875</v>
      </c>
    </row>
    <row r="35" spans="1:21" x14ac:dyDescent="0.2">
      <c r="A35" s="2">
        <v>33</v>
      </c>
      <c r="B35">
        <v>12019.933103319299</v>
      </c>
      <c r="C35">
        <v>3.1589762369791798</v>
      </c>
      <c r="D35">
        <v>48023.6285024186</v>
      </c>
      <c r="E35">
        <v>2.9541015625</v>
      </c>
      <c r="F35">
        <v>84028.662234514893</v>
      </c>
      <c r="G35">
        <v>3.1575520833333801</v>
      </c>
      <c r="H35">
        <v>120032.043541615</v>
      </c>
      <c r="I35">
        <v>2.9571533203125</v>
      </c>
      <c r="J35">
        <v>156037.42326071</v>
      </c>
      <c r="K35">
        <v>3.1623331705729201</v>
      </c>
      <c r="L35">
        <v>192040.81456880999</v>
      </c>
      <c r="M35">
        <v>2.957763671875</v>
      </c>
      <c r="N35">
        <v>228046.213294905</v>
      </c>
      <c r="O35">
        <v>3.16375732421875</v>
      </c>
      <c r="P35">
        <v>264049.64060400502</v>
      </c>
      <c r="Q35">
        <v>2.9583740234375</v>
      </c>
      <c r="R35">
        <v>300055.2263331</v>
      </c>
      <c r="S35">
        <v>3.1642659505208299</v>
      </c>
      <c r="T35">
        <v>336058.6856422</v>
      </c>
      <c r="U35">
        <v>2.9571533203125</v>
      </c>
    </row>
    <row r="36" spans="1:21" x14ac:dyDescent="0.2">
      <c r="A36" s="2">
        <v>34</v>
      </c>
      <c r="B36">
        <v>12383.5593650275</v>
      </c>
      <c r="C36">
        <v>3.1598270300663001</v>
      </c>
      <c r="D36">
        <v>48387.254764126803</v>
      </c>
      <c r="E36">
        <v>2.9534912109375</v>
      </c>
      <c r="F36">
        <v>84392.288496223104</v>
      </c>
      <c r="G36">
        <v>3.15756441366787</v>
      </c>
      <c r="H36">
        <v>120395.66980332301</v>
      </c>
      <c r="I36">
        <v>2.95654296875</v>
      </c>
      <c r="J36">
        <v>156401.04952241899</v>
      </c>
      <c r="K36">
        <v>3.16183687460537</v>
      </c>
      <c r="L36">
        <v>192404.44083051899</v>
      </c>
      <c r="M36">
        <v>2.9571533203125</v>
      </c>
      <c r="N36">
        <v>228409.839556614</v>
      </c>
      <c r="O36">
        <v>3.16402550899639</v>
      </c>
      <c r="P36">
        <v>264413.26686571399</v>
      </c>
      <c r="Q36">
        <v>2.957763671875</v>
      </c>
      <c r="R36">
        <v>300418.85259480902</v>
      </c>
      <c r="S36">
        <v>3.1642936937739501</v>
      </c>
      <c r="T36">
        <v>336422.31190390902</v>
      </c>
      <c r="U36">
        <v>2.95684814453125</v>
      </c>
    </row>
    <row r="37" spans="1:21" x14ac:dyDescent="0.2">
      <c r="A37" s="2">
        <v>35</v>
      </c>
      <c r="B37">
        <v>12747.1856267356</v>
      </c>
      <c r="C37">
        <v>3.1600458935053899</v>
      </c>
      <c r="D37">
        <v>48750.881025834999</v>
      </c>
      <c r="E37">
        <v>2.952880859375</v>
      </c>
      <c r="F37">
        <v>84755.914757931299</v>
      </c>
      <c r="G37">
        <v>3.15821483881798</v>
      </c>
      <c r="H37">
        <v>120759.296065031</v>
      </c>
      <c r="I37">
        <v>2.95565210207553</v>
      </c>
      <c r="J37">
        <v>156764.675784127</v>
      </c>
      <c r="K37">
        <v>3.1622561059816099</v>
      </c>
      <c r="L37">
        <v>192768.06709222699</v>
      </c>
      <c r="M37">
        <v>2.95623779296875</v>
      </c>
      <c r="N37">
        <v>228773.465818322</v>
      </c>
      <c r="O37">
        <v>3.1649533666746401</v>
      </c>
      <c r="P37">
        <v>264776.89312742202</v>
      </c>
      <c r="Q37">
        <v>2.9571533203125</v>
      </c>
      <c r="R37">
        <v>300782.478856517</v>
      </c>
      <c r="S37">
        <v>3.1649533666746499</v>
      </c>
      <c r="T37">
        <v>336785.938165617</v>
      </c>
      <c r="U37">
        <v>2.95623779296875</v>
      </c>
    </row>
    <row r="38" spans="1:21" x14ac:dyDescent="0.2">
      <c r="A38" s="2">
        <v>36</v>
      </c>
      <c r="B38">
        <v>13110.811888443801</v>
      </c>
      <c r="C38">
        <v>3.1596513227982999</v>
      </c>
      <c r="D38">
        <v>49114.507287543202</v>
      </c>
      <c r="E38">
        <v>2.9522705078125</v>
      </c>
      <c r="F38">
        <v>85119.541019639495</v>
      </c>
      <c r="G38">
        <v>3.1584028764204</v>
      </c>
      <c r="H38">
        <v>121122.922326739</v>
      </c>
      <c r="I38">
        <v>2.95501708984375</v>
      </c>
      <c r="J38">
        <v>157128.30204583501</v>
      </c>
      <c r="K38">
        <v>3.1625643643466401</v>
      </c>
      <c r="L38">
        <v>193131.693353935</v>
      </c>
      <c r="M38">
        <v>2.95562744140625</v>
      </c>
      <c r="N38">
        <v>229137.09208003001</v>
      </c>
      <c r="O38">
        <v>3.16497802734375</v>
      </c>
      <c r="P38">
        <v>265140.51938913</v>
      </c>
      <c r="Q38">
        <v>2.95654296875</v>
      </c>
      <c r="R38">
        <v>301146.10511822498</v>
      </c>
      <c r="S38">
        <v>3.1646728515625</v>
      </c>
      <c r="T38">
        <v>337149.56442732498</v>
      </c>
      <c r="U38">
        <v>2.95562744140625</v>
      </c>
    </row>
    <row r="39" spans="1:21" x14ac:dyDescent="0.2">
      <c r="A39" s="2">
        <v>37</v>
      </c>
      <c r="B39">
        <v>13474.438150152</v>
      </c>
      <c r="C39">
        <v>3.1606007585621598</v>
      </c>
      <c r="D39">
        <v>49478.133549251397</v>
      </c>
      <c r="E39">
        <v>2.95135498046875</v>
      </c>
      <c r="F39">
        <v>85483.167281347705</v>
      </c>
      <c r="G39">
        <v>3.1583689680004201</v>
      </c>
      <c r="H39">
        <v>121486.548588447</v>
      </c>
      <c r="I39">
        <v>2.9541015625</v>
      </c>
      <c r="J39">
        <v>157491.92830754301</v>
      </c>
      <c r="K39">
        <v>3.1632949366715</v>
      </c>
      <c r="L39">
        <v>193495.31961564301</v>
      </c>
      <c r="M39">
        <v>2.9547119140625</v>
      </c>
      <c r="N39">
        <v>229500.71834173799</v>
      </c>
      <c r="O39">
        <v>3.16442007970325</v>
      </c>
      <c r="P39">
        <v>265504.14565083798</v>
      </c>
      <c r="Q39">
        <v>2.9559326171875</v>
      </c>
      <c r="R39">
        <v>301509.73137993301</v>
      </c>
      <c r="S39">
        <v>3.16523079920275</v>
      </c>
      <c r="T39">
        <v>337513.19068903301</v>
      </c>
      <c r="U39">
        <v>2.9549646859215</v>
      </c>
    </row>
    <row r="40" spans="1:21" x14ac:dyDescent="0.2">
      <c r="A40" s="2">
        <v>38</v>
      </c>
      <c r="B40">
        <v>13838.064411860199</v>
      </c>
      <c r="C40">
        <v>3.16070556640625</v>
      </c>
      <c r="D40">
        <v>49841.7598109596</v>
      </c>
      <c r="E40">
        <v>2.95074462890625</v>
      </c>
      <c r="F40">
        <v>85846.793543055901</v>
      </c>
      <c r="G40">
        <v>3.1585693359375</v>
      </c>
      <c r="H40">
        <v>121850.17485015601</v>
      </c>
      <c r="I40">
        <v>2.9534912109375</v>
      </c>
      <c r="J40">
        <v>157855.55456925099</v>
      </c>
      <c r="K40">
        <v>3.1630236693102298</v>
      </c>
      <c r="L40">
        <v>193858.94587735101</v>
      </c>
      <c r="M40">
        <v>2.9541015625</v>
      </c>
      <c r="N40">
        <v>229864.34460344599</v>
      </c>
      <c r="O40">
        <v>3.1646111998894901</v>
      </c>
      <c r="P40">
        <v>265867.77191254601</v>
      </c>
      <c r="Q40">
        <v>2.95501708984375</v>
      </c>
      <c r="R40">
        <v>301873.35764164099</v>
      </c>
      <c r="S40">
        <v>3.16485780658153</v>
      </c>
      <c r="T40">
        <v>337876.81695074099</v>
      </c>
      <c r="U40">
        <v>2.9541015625</v>
      </c>
    </row>
    <row r="41" spans="1:21" x14ac:dyDescent="0.2">
      <c r="A41" s="2">
        <v>39</v>
      </c>
      <c r="B41">
        <v>14201.690673568401</v>
      </c>
      <c r="C41">
        <v>3.16075180516096</v>
      </c>
      <c r="D41">
        <v>50205.386072667803</v>
      </c>
      <c r="E41">
        <v>2.95013427734375</v>
      </c>
      <c r="F41">
        <v>86210.419804764097</v>
      </c>
      <c r="G41">
        <v>3.1589207504733698</v>
      </c>
      <c r="H41">
        <v>122213.801111864</v>
      </c>
      <c r="I41">
        <v>2.95257568359375</v>
      </c>
      <c r="J41">
        <v>158219.18083095999</v>
      </c>
      <c r="K41">
        <v>3.1636278557054598</v>
      </c>
      <c r="L41">
        <v>194222.57213905899</v>
      </c>
      <c r="M41">
        <v>2.95318603515625</v>
      </c>
      <c r="N41">
        <v>230227.97086515499</v>
      </c>
      <c r="O41">
        <v>3.16462661280783</v>
      </c>
      <c r="P41">
        <v>266231.39817425399</v>
      </c>
      <c r="Q41">
        <v>2.9541015625</v>
      </c>
      <c r="R41">
        <v>302236.98390335002</v>
      </c>
      <c r="S41">
        <v>3.1654126716384101</v>
      </c>
      <c r="T41">
        <v>338240.44321245002</v>
      </c>
      <c r="U41">
        <v>2.9534912109375</v>
      </c>
    </row>
    <row r="42" spans="1:21" x14ac:dyDescent="0.2">
      <c r="A42" s="2">
        <v>40</v>
      </c>
      <c r="B42">
        <v>14565.3169352766</v>
      </c>
      <c r="C42">
        <v>3.1613313308870099</v>
      </c>
      <c r="D42">
        <v>50569.012334375999</v>
      </c>
      <c r="E42">
        <v>2.94952392578125</v>
      </c>
      <c r="F42">
        <v>86574.046066472307</v>
      </c>
      <c r="G42">
        <v>3.1600489760888402</v>
      </c>
      <c r="H42">
        <v>122577.42737357201</v>
      </c>
      <c r="I42">
        <v>2.95196533203125</v>
      </c>
      <c r="J42">
        <v>158582.80709266799</v>
      </c>
      <c r="K42">
        <v>3.1640316741633501</v>
      </c>
      <c r="L42">
        <v>194586.19840076799</v>
      </c>
      <c r="M42">
        <v>2.9522705078125</v>
      </c>
      <c r="N42">
        <v>230591.59712686299</v>
      </c>
      <c r="O42">
        <v>3.1646882644808199</v>
      </c>
      <c r="P42">
        <v>266595.02443596302</v>
      </c>
      <c r="Q42">
        <v>2.9534912109375</v>
      </c>
      <c r="R42">
        <v>302600.61016505799</v>
      </c>
      <c r="S42">
        <v>3.1647190903174902</v>
      </c>
      <c r="T42">
        <v>338604.06947415799</v>
      </c>
      <c r="U42">
        <v>2.95257568359375</v>
      </c>
    </row>
    <row r="43" spans="1:21" x14ac:dyDescent="0.2">
      <c r="A43" s="2">
        <v>41</v>
      </c>
      <c r="B43">
        <v>14928.943196984799</v>
      </c>
      <c r="C43">
        <v>3.1620249122080102</v>
      </c>
      <c r="D43">
        <v>50932.638596084202</v>
      </c>
      <c r="E43">
        <v>2.9486083984375</v>
      </c>
      <c r="F43">
        <v>86937.672328180503</v>
      </c>
      <c r="G43">
        <v>3.1593769728534302</v>
      </c>
      <c r="H43">
        <v>122941.05363528</v>
      </c>
      <c r="I43">
        <v>2.9510498046875</v>
      </c>
      <c r="J43">
        <v>158946.433354376</v>
      </c>
      <c r="K43">
        <v>3.16365868154202</v>
      </c>
      <c r="L43">
        <v>194949.82466247599</v>
      </c>
      <c r="M43">
        <v>2.95166015625</v>
      </c>
      <c r="N43">
        <v>230955.223388571</v>
      </c>
      <c r="O43">
        <v>3.16568702158298</v>
      </c>
      <c r="P43">
        <v>266958.65069767099</v>
      </c>
      <c r="Q43">
        <v>2.95257568359375</v>
      </c>
      <c r="R43">
        <v>302964.23642676597</v>
      </c>
      <c r="S43">
        <v>3.1660014451152998</v>
      </c>
      <c r="T43">
        <v>338967.69573586597</v>
      </c>
      <c r="U43">
        <v>2.95196533203125</v>
      </c>
    </row>
    <row r="44" spans="1:21" x14ac:dyDescent="0.2">
      <c r="A44" s="2">
        <v>42</v>
      </c>
      <c r="B44">
        <v>15292.569458693</v>
      </c>
      <c r="C44">
        <v>3.1626290986032299</v>
      </c>
      <c r="D44">
        <v>51296.264857792397</v>
      </c>
      <c r="E44">
        <v>2.947998046875</v>
      </c>
      <c r="F44">
        <v>87301.298589888698</v>
      </c>
      <c r="G44">
        <v>3.1607980439157801</v>
      </c>
      <c r="H44">
        <v>123304.679896988</v>
      </c>
      <c r="I44">
        <v>2.95013427734375</v>
      </c>
      <c r="J44">
        <v>159310.05961608401</v>
      </c>
      <c r="K44">
        <v>3.16412723425658</v>
      </c>
      <c r="L44">
        <v>195313.450924184</v>
      </c>
      <c r="M44">
        <v>2.95074462890625</v>
      </c>
      <c r="N44">
        <v>231318.84965027901</v>
      </c>
      <c r="O44">
        <v>3.16537568063446</v>
      </c>
      <c r="P44">
        <v>267322.27695937903</v>
      </c>
      <c r="Q44">
        <v>2.95196533203125</v>
      </c>
      <c r="R44">
        <v>303327.86268847401</v>
      </c>
      <c r="S44">
        <v>3.16619873046875</v>
      </c>
      <c r="T44">
        <v>339331.32199757401</v>
      </c>
      <c r="U44">
        <v>2.9510498046875</v>
      </c>
    </row>
    <row r="45" spans="1:21" x14ac:dyDescent="0.2">
      <c r="A45" s="2">
        <v>43</v>
      </c>
      <c r="B45">
        <v>15656.1957204012</v>
      </c>
      <c r="C45">
        <v>3.1628633749605402</v>
      </c>
      <c r="D45">
        <v>51659.8911195006</v>
      </c>
      <c r="E45">
        <v>2.9473876953125</v>
      </c>
      <c r="F45">
        <v>87664.924851596894</v>
      </c>
      <c r="G45">
        <v>3.1607271444917302</v>
      </c>
      <c r="H45">
        <v>123668.306158697</v>
      </c>
      <c r="I45">
        <v>2.94952392578125</v>
      </c>
      <c r="J45">
        <v>159673.68587779201</v>
      </c>
      <c r="K45">
        <v>3.1644108319524502</v>
      </c>
      <c r="L45">
        <v>195677.07718589201</v>
      </c>
      <c r="M45">
        <v>2.9498291015625</v>
      </c>
      <c r="N45">
        <v>231682.47591198701</v>
      </c>
      <c r="O45">
        <v>3.1658719766018999</v>
      </c>
      <c r="P45">
        <v>267685.90322108701</v>
      </c>
      <c r="Q45">
        <v>2.9510498046875</v>
      </c>
      <c r="R45">
        <v>303691.48895018199</v>
      </c>
      <c r="S45">
        <v>3.1664823281644199</v>
      </c>
      <c r="T45">
        <v>339694.94825928198</v>
      </c>
      <c r="U45">
        <v>2.95013427734375</v>
      </c>
    </row>
    <row r="46" spans="1:21" x14ac:dyDescent="0.2">
      <c r="A46" s="2">
        <v>44</v>
      </c>
      <c r="B46">
        <v>16019.821982109401</v>
      </c>
      <c r="C46">
        <v>3.16331651475695</v>
      </c>
      <c r="D46">
        <v>52023.517381208803</v>
      </c>
      <c r="E46">
        <v>2.94647216796875</v>
      </c>
      <c r="F46">
        <v>88028.551113305104</v>
      </c>
      <c r="G46">
        <v>3.1612820095484602</v>
      </c>
      <c r="H46">
        <v>124031.93242040501</v>
      </c>
      <c r="I46">
        <v>2.9486083984375</v>
      </c>
      <c r="J46">
        <v>160037.31213949999</v>
      </c>
      <c r="K46">
        <v>3.1645711263020702</v>
      </c>
      <c r="L46">
        <v>196040.70344760001</v>
      </c>
      <c r="M46">
        <v>2.94891357421875</v>
      </c>
      <c r="N46">
        <v>232046.10217369499</v>
      </c>
      <c r="O46">
        <v>3.1660291883680598</v>
      </c>
      <c r="P46">
        <v>268049.52948279498</v>
      </c>
      <c r="Q46">
        <v>2.95013427734375</v>
      </c>
      <c r="R46">
        <v>304055.11521189002</v>
      </c>
      <c r="S46">
        <v>3.1663682725696098</v>
      </c>
      <c r="T46">
        <v>340058.57452099002</v>
      </c>
      <c r="U46">
        <v>2.94921875</v>
      </c>
    </row>
    <row r="47" spans="1:21" x14ac:dyDescent="0.2">
      <c r="A47" s="2">
        <v>45</v>
      </c>
      <c r="B47">
        <v>16383.4482438176</v>
      </c>
      <c r="C47">
        <v>3.1640625</v>
      </c>
      <c r="D47">
        <v>52387.143642916999</v>
      </c>
      <c r="E47">
        <v>2.94586181640625</v>
      </c>
      <c r="F47">
        <v>88392.1773750133</v>
      </c>
      <c r="G47">
        <v>3.1613714044745</v>
      </c>
      <c r="H47">
        <v>124395.558682113</v>
      </c>
      <c r="I47">
        <v>2.94769287109375</v>
      </c>
      <c r="J47">
        <v>160400.93840120899</v>
      </c>
      <c r="K47">
        <v>3.1652277166192602</v>
      </c>
      <c r="L47">
        <v>196404.32970930901</v>
      </c>
      <c r="M47">
        <v>2.947998046875</v>
      </c>
      <c r="N47">
        <v>232409.72843540399</v>
      </c>
      <c r="O47">
        <v>3.16619873046875</v>
      </c>
      <c r="P47">
        <v>268413.15574450401</v>
      </c>
      <c r="Q47">
        <v>2.94921875</v>
      </c>
      <c r="R47">
        <v>304418.74147359899</v>
      </c>
      <c r="S47">
        <v>3.1665593927557998</v>
      </c>
      <c r="T47">
        <v>340422.20078269899</v>
      </c>
      <c r="U47">
        <v>2.9486083984375</v>
      </c>
    </row>
    <row r="48" spans="1:21" x14ac:dyDescent="0.2">
      <c r="A48" s="2">
        <v>46</v>
      </c>
      <c r="B48">
        <v>16747.074505525801</v>
      </c>
      <c r="C48">
        <v>3.1646728515625</v>
      </c>
      <c r="D48">
        <v>52750.769904625202</v>
      </c>
      <c r="E48">
        <v>2.94525146484375</v>
      </c>
      <c r="F48">
        <v>88755.803636721495</v>
      </c>
      <c r="G48">
        <v>3.1624194829152099</v>
      </c>
      <c r="H48">
        <v>124759.184943821</v>
      </c>
      <c r="I48">
        <v>2.94677734375</v>
      </c>
      <c r="J48">
        <v>160764.56466291699</v>
      </c>
      <c r="K48">
        <v>3.1652246340357202</v>
      </c>
      <c r="L48">
        <v>196767.95597101701</v>
      </c>
      <c r="M48">
        <v>2.94708251953125</v>
      </c>
      <c r="N48">
        <v>232773.35469711199</v>
      </c>
      <c r="O48">
        <v>3.1667505129419702</v>
      </c>
      <c r="P48">
        <v>268776.78200621199</v>
      </c>
      <c r="Q48">
        <v>2.94830322265625</v>
      </c>
      <c r="R48">
        <v>304782.36773530702</v>
      </c>
      <c r="S48">
        <v>3.16680908203125</v>
      </c>
      <c r="T48">
        <v>340785.82704440702</v>
      </c>
      <c r="U48">
        <v>2.94769287109375</v>
      </c>
    </row>
    <row r="49" spans="1:21" x14ac:dyDescent="0.2">
      <c r="A49" s="2">
        <v>47</v>
      </c>
      <c r="B49">
        <v>17110.700767234001</v>
      </c>
      <c r="C49">
        <v>3.1648454762468399</v>
      </c>
      <c r="D49">
        <v>53114.396166333398</v>
      </c>
      <c r="E49">
        <v>2.9443359375</v>
      </c>
      <c r="F49">
        <v>89119.429898429706</v>
      </c>
      <c r="G49">
        <v>3.1628818704622899</v>
      </c>
      <c r="H49">
        <v>125122.811205529</v>
      </c>
      <c r="I49">
        <v>2.94586181640625</v>
      </c>
      <c r="J49">
        <v>161128.190924625</v>
      </c>
      <c r="K49">
        <v>3.1654558278093399</v>
      </c>
      <c r="L49">
        <v>197131.58223272499</v>
      </c>
      <c r="M49">
        <v>2.9461669921875</v>
      </c>
      <c r="N49">
        <v>233136.98095882</v>
      </c>
      <c r="O49">
        <v>3.16707418422506</v>
      </c>
      <c r="P49">
        <v>269140.40826792002</v>
      </c>
      <c r="Q49">
        <v>2.9473876953125</v>
      </c>
      <c r="R49">
        <v>305145.993997015</v>
      </c>
      <c r="S49">
        <v>3.1678571604718901</v>
      </c>
      <c r="T49">
        <v>341149.453306115</v>
      </c>
      <c r="U49">
        <v>2.94677734375</v>
      </c>
    </row>
    <row r="50" spans="1:21" x14ac:dyDescent="0.2">
      <c r="A50" s="2">
        <v>48</v>
      </c>
      <c r="B50">
        <v>17474.3270289422</v>
      </c>
      <c r="C50">
        <v>3.1650335138494499</v>
      </c>
      <c r="D50">
        <v>53478.022428041601</v>
      </c>
      <c r="E50">
        <v>2.9437255859375</v>
      </c>
      <c r="F50">
        <v>89483.056160137901</v>
      </c>
      <c r="G50">
        <v>3.16289728338087</v>
      </c>
      <c r="H50">
        <v>125486.43746723801</v>
      </c>
      <c r="I50">
        <v>2.9449462890625</v>
      </c>
      <c r="J50">
        <v>161491.81718633301</v>
      </c>
      <c r="K50">
        <v>3.1661617394651</v>
      </c>
      <c r="L50">
        <v>197495.208494433</v>
      </c>
      <c r="M50">
        <v>2.94525146484375</v>
      </c>
      <c r="N50">
        <v>233500.60722052801</v>
      </c>
      <c r="O50">
        <v>3.16707726680885</v>
      </c>
      <c r="P50">
        <v>269504.034529628</v>
      </c>
      <c r="Q50">
        <v>2.94647216796875</v>
      </c>
      <c r="R50">
        <v>305509.62025872298</v>
      </c>
      <c r="S50">
        <v>3.167724609375</v>
      </c>
      <c r="T50">
        <v>341513.07956782298</v>
      </c>
      <c r="U50">
        <v>2.94586181640625</v>
      </c>
    </row>
    <row r="51" spans="1:21" x14ac:dyDescent="0.2">
      <c r="A51" s="2">
        <v>49</v>
      </c>
      <c r="B51">
        <v>17837.953290650399</v>
      </c>
      <c r="C51">
        <v>3.1658935546875</v>
      </c>
      <c r="D51">
        <v>53841.648689749803</v>
      </c>
      <c r="E51">
        <v>2.94281005859375</v>
      </c>
      <c r="F51">
        <v>89846.682421846097</v>
      </c>
      <c r="G51">
        <v>3.1639669399069601</v>
      </c>
      <c r="H51">
        <v>125850.063728946</v>
      </c>
      <c r="I51">
        <v>2.9441263218118401</v>
      </c>
      <c r="J51">
        <v>161855.44344804101</v>
      </c>
      <c r="K51">
        <v>3.1663127860636999</v>
      </c>
      <c r="L51">
        <v>197858.834756141</v>
      </c>
      <c r="M51">
        <v>2.9443359375</v>
      </c>
      <c r="N51">
        <v>233864.23348223601</v>
      </c>
      <c r="O51">
        <v>3.16762904928185</v>
      </c>
      <c r="P51">
        <v>269867.66079133598</v>
      </c>
      <c r="Q51">
        <v>2.945556640625</v>
      </c>
      <c r="R51">
        <v>305873.24652043101</v>
      </c>
      <c r="S51">
        <v>3.1678201694679302</v>
      </c>
      <c r="T51">
        <v>341876.70582953101</v>
      </c>
      <c r="U51">
        <v>2.9449462890625</v>
      </c>
    </row>
    <row r="52" spans="1:21" x14ac:dyDescent="0.2">
      <c r="A52" s="2">
        <v>50</v>
      </c>
      <c r="B52">
        <v>18201.579552358598</v>
      </c>
      <c r="C52">
        <v>3.1671327533143798</v>
      </c>
      <c r="D52">
        <v>54205.274951457999</v>
      </c>
      <c r="E52">
        <v>2.94219970703125</v>
      </c>
      <c r="F52">
        <v>90210.308683554307</v>
      </c>
      <c r="G52">
        <v>3.16436767578125</v>
      </c>
      <c r="H52">
        <v>126213.68999065401</v>
      </c>
      <c r="I52">
        <v>2.9432107944680901</v>
      </c>
      <c r="J52">
        <v>162219.06970975001</v>
      </c>
      <c r="K52">
        <v>3.1670186977192598</v>
      </c>
      <c r="L52">
        <v>198222.46101785</v>
      </c>
      <c r="M52">
        <v>2.94342041015625</v>
      </c>
      <c r="N52">
        <v>234227.85974394501</v>
      </c>
      <c r="O52">
        <v>3.1679342250631</v>
      </c>
      <c r="P52">
        <v>270231.287053045</v>
      </c>
      <c r="Q52">
        <v>2.94464111328125</v>
      </c>
      <c r="R52">
        <v>306236.87278213998</v>
      </c>
      <c r="S52">
        <v>3.16823940084427</v>
      </c>
      <c r="T52">
        <v>342240.33209123998</v>
      </c>
      <c r="U52">
        <v>2.94403076171875</v>
      </c>
    </row>
    <row r="53" spans="1:21" x14ac:dyDescent="0.2">
      <c r="A53" s="2">
        <v>51</v>
      </c>
      <c r="B53">
        <v>18565.205814066801</v>
      </c>
      <c r="C53">
        <v>3.16740093809186</v>
      </c>
      <c r="D53">
        <v>54568.9012131661</v>
      </c>
      <c r="E53">
        <v>2.94157085996686</v>
      </c>
      <c r="F53">
        <v>90573.934945262401</v>
      </c>
      <c r="G53">
        <v>3.1643861712830499</v>
      </c>
      <c r="H53">
        <v>126577.316252362</v>
      </c>
      <c r="I53">
        <v>2.94219970703125</v>
      </c>
      <c r="J53">
        <v>162582.69597145799</v>
      </c>
      <c r="K53">
        <v>3.1673824425900801</v>
      </c>
      <c r="L53">
        <v>198586.08727955801</v>
      </c>
      <c r="M53">
        <v>2.9425048828125</v>
      </c>
      <c r="N53">
        <v>234591.48600565299</v>
      </c>
      <c r="O53">
        <v>3.16802978515625</v>
      </c>
      <c r="P53">
        <v>270594.91331475298</v>
      </c>
      <c r="Q53">
        <v>2.9437255859375</v>
      </c>
      <c r="R53">
        <v>306600.49904384802</v>
      </c>
      <c r="S53">
        <v>3.16888982599452</v>
      </c>
      <c r="T53">
        <v>342603.95835294802</v>
      </c>
      <c r="U53">
        <v>2.94281005859375</v>
      </c>
    </row>
    <row r="54" spans="1:21" x14ac:dyDescent="0.2">
      <c r="A54" s="2">
        <v>52</v>
      </c>
      <c r="B54">
        <v>18928.832075775001</v>
      </c>
      <c r="C54">
        <v>3.16768453578756</v>
      </c>
      <c r="D54">
        <v>54932.527474874303</v>
      </c>
      <c r="E54">
        <v>2.940673828125</v>
      </c>
      <c r="F54">
        <v>90937.561206970699</v>
      </c>
      <c r="G54">
        <v>3.1652431295374002</v>
      </c>
      <c r="H54">
        <v>126940.94251407099</v>
      </c>
      <c r="I54">
        <v>2.9412841796875</v>
      </c>
      <c r="J54">
        <v>162946.32223316599</v>
      </c>
      <c r="K54">
        <v>3.1682024098405899</v>
      </c>
      <c r="L54">
        <v>198949.71354126601</v>
      </c>
      <c r="M54">
        <v>2.94158935546875</v>
      </c>
      <c r="N54">
        <v>234955.11226736099</v>
      </c>
      <c r="O54">
        <v>3.1685075856218399</v>
      </c>
      <c r="P54">
        <v>270958.53957646101</v>
      </c>
      <c r="Q54">
        <v>2.94281005859375</v>
      </c>
      <c r="R54">
        <v>306964.12530555599</v>
      </c>
      <c r="S54">
        <v>3.1692905618687002</v>
      </c>
      <c r="T54">
        <v>342967.58461465599</v>
      </c>
      <c r="U54">
        <v>2.94189453125</v>
      </c>
    </row>
    <row r="55" spans="1:21" x14ac:dyDescent="0.2">
      <c r="A55" s="2">
        <v>53</v>
      </c>
      <c r="B55">
        <v>19292.4583374832</v>
      </c>
      <c r="C55">
        <v>3.1688281743213298</v>
      </c>
      <c r="D55">
        <v>55296.153736582499</v>
      </c>
      <c r="E55">
        <v>2.9400634765625</v>
      </c>
      <c r="F55">
        <v>91301.187468678894</v>
      </c>
      <c r="G55">
        <v>3.1658349855980701</v>
      </c>
      <c r="H55">
        <v>127304.568775779</v>
      </c>
      <c r="I55">
        <v>2.94036865234375</v>
      </c>
      <c r="J55">
        <v>163309.948494874</v>
      </c>
      <c r="K55">
        <v>3.1685815676294702</v>
      </c>
      <c r="L55">
        <v>199313.33980297399</v>
      </c>
      <c r="M55">
        <v>2.94036865234375</v>
      </c>
      <c r="N55">
        <v>235318.738529069</v>
      </c>
      <c r="O55">
        <v>3.1688744130758799</v>
      </c>
      <c r="P55">
        <v>271322.16583816899</v>
      </c>
      <c r="Q55">
        <v>2.94189453125</v>
      </c>
      <c r="R55">
        <v>307327.75156726397</v>
      </c>
      <c r="S55">
        <v>3.1698022707542299</v>
      </c>
      <c r="T55">
        <v>343331.21087636403</v>
      </c>
      <c r="U55">
        <v>2.94097900390625</v>
      </c>
    </row>
    <row r="56" spans="1:21" x14ac:dyDescent="0.2">
      <c r="A56" s="2">
        <v>54</v>
      </c>
      <c r="B56">
        <v>19656.084599191301</v>
      </c>
      <c r="C56">
        <v>3.1691395152698898</v>
      </c>
      <c r="D56">
        <v>55659.779998290702</v>
      </c>
      <c r="E56">
        <v>2.93914794921875</v>
      </c>
      <c r="F56">
        <v>91664.813730387104</v>
      </c>
      <c r="G56">
        <v>3.16680908203125</v>
      </c>
      <c r="H56">
        <v>127668.19503748701</v>
      </c>
      <c r="I56">
        <v>2.939453125</v>
      </c>
      <c r="J56">
        <v>163673.57475658201</v>
      </c>
      <c r="K56">
        <v>3.1687511097297398</v>
      </c>
      <c r="L56">
        <v>199676.966064682</v>
      </c>
      <c r="M56">
        <v>2.939453125</v>
      </c>
      <c r="N56">
        <v>235682.36479077701</v>
      </c>
      <c r="O56">
        <v>3.1695556640625</v>
      </c>
      <c r="P56">
        <v>271685.79209987703</v>
      </c>
      <c r="Q56">
        <v>2.940673828125</v>
      </c>
      <c r="R56">
        <v>307691.37782897201</v>
      </c>
      <c r="S56">
        <v>3.1706653941765102</v>
      </c>
      <c r="T56">
        <v>343694.83713807201</v>
      </c>
      <c r="U56">
        <v>2.93975830078125</v>
      </c>
    </row>
    <row r="57" spans="1:21" x14ac:dyDescent="0.2">
      <c r="A57" s="2">
        <v>55</v>
      </c>
      <c r="B57">
        <v>20019.7108608995</v>
      </c>
      <c r="C57">
        <v>3.1695556640625</v>
      </c>
      <c r="D57">
        <v>56023.406259998897</v>
      </c>
      <c r="E57">
        <v>2.938232421875</v>
      </c>
      <c r="F57">
        <v>92028.439992095198</v>
      </c>
      <c r="G57">
        <v>3.1677585177949501</v>
      </c>
      <c r="H57">
        <v>128031.821299195</v>
      </c>
      <c r="I57">
        <v>2.93853759765625</v>
      </c>
      <c r="J57">
        <v>164037.201018291</v>
      </c>
      <c r="K57">
        <v>3.1695556640625</v>
      </c>
      <c r="L57">
        <v>200040.59232639099</v>
      </c>
      <c r="M57">
        <v>2.938232421875</v>
      </c>
      <c r="N57">
        <v>236045.991052486</v>
      </c>
      <c r="O57">
        <v>3.17064073350695</v>
      </c>
      <c r="P57">
        <v>272049.41836158599</v>
      </c>
      <c r="Q57">
        <v>2.93975830078125</v>
      </c>
      <c r="R57">
        <v>308055.00409068097</v>
      </c>
      <c r="S57">
        <v>3.1708441840272101</v>
      </c>
      <c r="T57">
        <v>344058.46339978097</v>
      </c>
      <c r="U57">
        <v>2.9388427734375</v>
      </c>
    </row>
    <row r="58" spans="1:21" x14ac:dyDescent="0.2">
      <c r="A58" s="2">
        <v>56</v>
      </c>
      <c r="B58">
        <v>20383.3371226077</v>
      </c>
      <c r="C58">
        <v>3.170166015625</v>
      </c>
      <c r="D58">
        <v>56387.0325217071</v>
      </c>
      <c r="E58">
        <v>2.9376220703125</v>
      </c>
      <c r="F58">
        <v>92392.066253803394</v>
      </c>
      <c r="G58">
        <v>3.1677893436318998</v>
      </c>
      <c r="H58">
        <v>128395.44756090301</v>
      </c>
      <c r="I58">
        <v>2.9376220703125</v>
      </c>
      <c r="J58">
        <v>164400.82727999901</v>
      </c>
      <c r="K58">
        <v>3.1704927694918701</v>
      </c>
      <c r="L58">
        <v>200404.218588099</v>
      </c>
      <c r="M58">
        <v>2.93731689453125</v>
      </c>
      <c r="N58">
        <v>236409.61731419401</v>
      </c>
      <c r="O58">
        <v>3.1710383867975498</v>
      </c>
      <c r="P58">
        <v>272413.04462329397</v>
      </c>
      <c r="Q58">
        <v>2.93853759765625</v>
      </c>
      <c r="R58">
        <v>308418.63035238901</v>
      </c>
      <c r="S58">
        <v>3.1716703164456401</v>
      </c>
      <c r="T58">
        <v>344422.08966148901</v>
      </c>
      <c r="U58">
        <v>2.93792724609375</v>
      </c>
    </row>
    <row r="59" spans="1:21" x14ac:dyDescent="0.2">
      <c r="A59" s="2">
        <v>57</v>
      </c>
      <c r="B59">
        <v>20746.963384315899</v>
      </c>
      <c r="C59">
        <v>3.1706561464251899</v>
      </c>
      <c r="D59">
        <v>56750.658783415303</v>
      </c>
      <c r="E59">
        <v>2.93670654296875</v>
      </c>
      <c r="F59">
        <v>92755.692515511706</v>
      </c>
      <c r="G59">
        <v>3.1688528349906302</v>
      </c>
      <c r="H59">
        <v>128759.073822612</v>
      </c>
      <c r="I59">
        <v>2.93670654296875</v>
      </c>
      <c r="J59">
        <v>164764.45354170699</v>
      </c>
      <c r="K59">
        <v>3.1714144620028799</v>
      </c>
      <c r="L59">
        <v>200767.84484980701</v>
      </c>
      <c r="M59">
        <v>2.93609619140625</v>
      </c>
      <c r="N59">
        <v>236773.24357590199</v>
      </c>
      <c r="O59">
        <v>3.1718121152935899</v>
      </c>
      <c r="P59">
        <v>272776.67088500201</v>
      </c>
      <c r="Q59">
        <v>2.9376220703125</v>
      </c>
      <c r="R59">
        <v>308782.25661409699</v>
      </c>
      <c r="S59">
        <v>3.17169189453125</v>
      </c>
      <c r="T59">
        <v>344785.71592319699</v>
      </c>
      <c r="U59">
        <v>2.93670654296875</v>
      </c>
    </row>
    <row r="60" spans="1:21" x14ac:dyDescent="0.2">
      <c r="A60" s="2">
        <v>58</v>
      </c>
      <c r="B60">
        <v>21110.589646024098</v>
      </c>
      <c r="C60">
        <v>3.17159325185448</v>
      </c>
      <c r="D60">
        <v>57114.285045123499</v>
      </c>
      <c r="E60">
        <v>2.93609619140625</v>
      </c>
      <c r="F60">
        <v>93119.3187772198</v>
      </c>
      <c r="G60">
        <v>3.1693491309581199</v>
      </c>
      <c r="H60">
        <v>129122.70008431999</v>
      </c>
      <c r="I60">
        <v>2.93548583984375</v>
      </c>
      <c r="J60">
        <v>165128.07980341499</v>
      </c>
      <c r="K60">
        <v>3.1708842576148801</v>
      </c>
      <c r="L60">
        <v>201131.47111151501</v>
      </c>
      <c r="M60">
        <v>2.93487548828125</v>
      </c>
      <c r="N60">
        <v>237136.86983760999</v>
      </c>
      <c r="O60">
        <v>3.17250877919827</v>
      </c>
      <c r="P60">
        <v>273140.29714670999</v>
      </c>
      <c r="Q60">
        <v>2.9364013671875</v>
      </c>
      <c r="R60">
        <v>309145.88287580502</v>
      </c>
      <c r="S60">
        <v>3.17240088877069</v>
      </c>
      <c r="T60">
        <v>345149.34218490502</v>
      </c>
      <c r="U60">
        <v>2.93548583984375</v>
      </c>
    </row>
    <row r="61" spans="1:21" x14ac:dyDescent="0.2">
      <c r="A61" s="2">
        <v>59</v>
      </c>
      <c r="B61">
        <v>21474.215907732301</v>
      </c>
      <c r="C61">
        <v>3.17230224609375</v>
      </c>
      <c r="D61">
        <v>57477.911306831702</v>
      </c>
      <c r="E61">
        <v>2.9351806640625</v>
      </c>
      <c r="F61">
        <v>93482.945038927995</v>
      </c>
      <c r="G61">
        <v>3.1710661300505998</v>
      </c>
      <c r="H61">
        <v>129486.326346028</v>
      </c>
      <c r="I61">
        <v>2.9345703125</v>
      </c>
      <c r="J61">
        <v>165491.706065123</v>
      </c>
      <c r="K61">
        <v>3.172607421875</v>
      </c>
      <c r="L61">
        <v>201495.09737322299</v>
      </c>
      <c r="M61">
        <v>2.9336701980745801</v>
      </c>
      <c r="N61">
        <v>237500.496099318</v>
      </c>
      <c r="O61">
        <v>3.17291259765625</v>
      </c>
      <c r="P61">
        <v>273503.92340841802</v>
      </c>
      <c r="Q61">
        <v>2.9351806640625</v>
      </c>
      <c r="R61">
        <v>309509.509137513</v>
      </c>
      <c r="S61">
        <v>3.17356918797284</v>
      </c>
      <c r="T61">
        <v>345512.968446613</v>
      </c>
      <c r="U61">
        <v>2.9345703125</v>
      </c>
    </row>
    <row r="62" spans="1:21" x14ac:dyDescent="0.2">
      <c r="A62" s="2">
        <v>60</v>
      </c>
      <c r="B62">
        <v>21837.842169440501</v>
      </c>
      <c r="C62">
        <v>3.17273689038826</v>
      </c>
      <c r="D62">
        <v>57841.537568539898</v>
      </c>
      <c r="E62">
        <v>2.93426513671875</v>
      </c>
      <c r="F62">
        <v>93846.571300636206</v>
      </c>
      <c r="G62">
        <v>3.1715624260180899</v>
      </c>
      <c r="H62">
        <v>129849.95260773601</v>
      </c>
      <c r="I62">
        <v>2.93365478515625</v>
      </c>
      <c r="J62">
        <v>165855.33232683199</v>
      </c>
      <c r="K62">
        <v>3.17317153468248</v>
      </c>
      <c r="L62">
        <v>201858.72363493199</v>
      </c>
      <c r="M62">
        <v>2.93243408203125</v>
      </c>
      <c r="N62">
        <v>237864.122361027</v>
      </c>
      <c r="O62">
        <v>3.17387436375467</v>
      </c>
      <c r="P62">
        <v>273867.54967012699</v>
      </c>
      <c r="Q62">
        <v>2.9339599609375</v>
      </c>
      <c r="R62">
        <v>309873.13539922202</v>
      </c>
      <c r="S62">
        <v>3.1742627692943599</v>
      </c>
      <c r="T62">
        <v>345876.59470832202</v>
      </c>
      <c r="U62">
        <v>2.933349609375</v>
      </c>
    </row>
    <row r="63" spans="1:21" x14ac:dyDescent="0.2">
      <c r="A63" s="2">
        <v>61</v>
      </c>
      <c r="B63">
        <v>22201.4684311487</v>
      </c>
      <c r="C63">
        <v>3.1737664733270199</v>
      </c>
      <c r="D63">
        <v>58205.163830248101</v>
      </c>
      <c r="E63">
        <v>2.933349609375</v>
      </c>
      <c r="F63">
        <v>94210.197562344401</v>
      </c>
      <c r="G63">
        <v>3.17236389776683</v>
      </c>
      <c r="H63">
        <v>130213.578869444</v>
      </c>
      <c r="I63">
        <v>2.93243408203125</v>
      </c>
      <c r="J63">
        <v>166218.95858854</v>
      </c>
      <c r="K63">
        <v>3.1746203489976099</v>
      </c>
      <c r="L63">
        <v>202222.34989663999</v>
      </c>
      <c r="M63">
        <v>2.93121337890625</v>
      </c>
      <c r="N63">
        <v>238227.748622735</v>
      </c>
      <c r="O63">
        <v>3.1745617799085202</v>
      </c>
      <c r="P63">
        <v>274231.17593183502</v>
      </c>
      <c r="Q63">
        <v>2.9327392578125</v>
      </c>
      <c r="R63">
        <v>310236.76166093</v>
      </c>
      <c r="S63">
        <v>3.175048828125</v>
      </c>
      <c r="T63">
        <v>346240.22097003</v>
      </c>
      <c r="U63">
        <v>2.93212890625</v>
      </c>
    </row>
    <row r="64" spans="1:21" x14ac:dyDescent="0.2">
      <c r="A64" s="2">
        <v>62</v>
      </c>
      <c r="B64">
        <v>22565.094692856899</v>
      </c>
      <c r="C64">
        <v>3.1739329328440702</v>
      </c>
      <c r="D64">
        <v>58568.790091956304</v>
      </c>
      <c r="E64">
        <v>2.93243408203125</v>
      </c>
      <c r="F64">
        <v>94573.823824052597</v>
      </c>
      <c r="G64">
        <v>3.17352294921875</v>
      </c>
      <c r="H64">
        <v>130577.20513115299</v>
      </c>
      <c r="I64">
        <v>2.93121337890625</v>
      </c>
      <c r="J64">
        <v>166582.58485024801</v>
      </c>
      <c r="K64">
        <v>3.17515363596902</v>
      </c>
      <c r="L64">
        <v>202585.976158348</v>
      </c>
      <c r="M64">
        <v>2.92999267578125</v>
      </c>
      <c r="N64">
        <v>238591.37488444301</v>
      </c>
      <c r="O64">
        <v>3.1754064078282598</v>
      </c>
      <c r="P64">
        <v>274594.802193543</v>
      </c>
      <c r="Q64">
        <v>2.9315185546875</v>
      </c>
      <c r="R64">
        <v>310600.38792263798</v>
      </c>
      <c r="S64">
        <v>3.17626953125</v>
      </c>
      <c r="T64">
        <v>346603.84723173798</v>
      </c>
      <c r="U64">
        <v>2.930908203125</v>
      </c>
    </row>
    <row r="65" spans="1:21" x14ac:dyDescent="0.2">
      <c r="A65" s="2">
        <v>63</v>
      </c>
      <c r="B65">
        <v>22928.720954565099</v>
      </c>
      <c r="C65">
        <v>3.1747159090908998</v>
      </c>
      <c r="D65">
        <v>58932.416353664499</v>
      </c>
      <c r="E65">
        <v>2.9315185546875</v>
      </c>
      <c r="F65">
        <v>94937.450085760807</v>
      </c>
      <c r="G65">
        <v>3.1744107333098599</v>
      </c>
      <c r="H65">
        <v>130940.831392861</v>
      </c>
      <c r="I65">
        <v>2.9302978515625</v>
      </c>
      <c r="J65">
        <v>166946.21111195601</v>
      </c>
      <c r="K65">
        <v>3.1759920987213102</v>
      </c>
      <c r="L65">
        <v>202949.60242005601</v>
      </c>
      <c r="M65">
        <v>2.92877197265625</v>
      </c>
      <c r="N65">
        <v>238955.00114615099</v>
      </c>
      <c r="O65">
        <v>3.1764359907670698</v>
      </c>
      <c r="P65">
        <v>274958.42845525098</v>
      </c>
      <c r="Q65">
        <v>2.9302978515625</v>
      </c>
      <c r="R65">
        <v>310964.01418434602</v>
      </c>
      <c r="S65">
        <v>3.17704634232941</v>
      </c>
      <c r="T65">
        <v>346967.47349344601</v>
      </c>
      <c r="U65">
        <v>2.92938232421875</v>
      </c>
    </row>
    <row r="66" spans="1:21" x14ac:dyDescent="0.2">
      <c r="A66" s="2">
        <v>64</v>
      </c>
      <c r="B66">
        <v>23292.347216273301</v>
      </c>
      <c r="C66">
        <v>3.1759396947995602</v>
      </c>
      <c r="D66">
        <v>59296.042615372702</v>
      </c>
      <c r="E66">
        <v>2.93060302734375</v>
      </c>
      <c r="F66">
        <v>95301.076347469003</v>
      </c>
      <c r="G66">
        <v>3.1744877979010901</v>
      </c>
      <c r="H66">
        <v>131304.45765456901</v>
      </c>
      <c r="I66">
        <v>2.9290771484375</v>
      </c>
      <c r="J66">
        <v>167309.83737366399</v>
      </c>
      <c r="K66">
        <v>3.17657470703125</v>
      </c>
      <c r="L66">
        <v>203313.22868176401</v>
      </c>
      <c r="M66">
        <v>2.92724609375</v>
      </c>
      <c r="N66">
        <v>239318.62740785899</v>
      </c>
      <c r="O66">
        <v>3.1769045434816099</v>
      </c>
      <c r="P66">
        <v>275322.05471695901</v>
      </c>
      <c r="Q66">
        <v>2.9290771484375</v>
      </c>
      <c r="R66">
        <v>311327.64044605399</v>
      </c>
      <c r="S66">
        <v>3.1778200708256299</v>
      </c>
      <c r="T66">
        <v>347331.09975515399</v>
      </c>
      <c r="U66">
        <v>2.92816162109375</v>
      </c>
    </row>
    <row r="67" spans="1:21" x14ac:dyDescent="0.2">
      <c r="A67" s="2">
        <v>65</v>
      </c>
      <c r="B67">
        <v>23655.973477981501</v>
      </c>
      <c r="C67">
        <v>3.1763959171796001</v>
      </c>
      <c r="D67">
        <v>59659.668877080898</v>
      </c>
      <c r="E67">
        <v>2.9296875</v>
      </c>
      <c r="F67">
        <v>95664.702609177199</v>
      </c>
      <c r="G67">
        <v>3.17596435546875</v>
      </c>
      <c r="H67">
        <v>131668.08391627701</v>
      </c>
      <c r="I67">
        <v>2.9278564453125</v>
      </c>
      <c r="J67">
        <v>167673.463635372</v>
      </c>
      <c r="K67">
        <v>3.1778848050819199</v>
      </c>
      <c r="L67">
        <v>203676.85494347199</v>
      </c>
      <c r="M67">
        <v>2.926025390625</v>
      </c>
      <c r="N67">
        <v>239682.253669567</v>
      </c>
      <c r="O67">
        <v>3.17801119101162</v>
      </c>
      <c r="P67">
        <v>275685.68097866699</v>
      </c>
      <c r="Q67">
        <v>2.92755126953125</v>
      </c>
      <c r="R67">
        <v>311691.26670776302</v>
      </c>
      <c r="S67">
        <v>3.17880033242565</v>
      </c>
      <c r="T67">
        <v>347694.72601686302</v>
      </c>
      <c r="U67">
        <v>2.92694091796875</v>
      </c>
    </row>
    <row r="68" spans="1:21" x14ac:dyDescent="0.2">
      <c r="A68" s="2">
        <v>66</v>
      </c>
      <c r="B68">
        <v>24019.5997396897</v>
      </c>
      <c r="C68">
        <v>3.1767781575520702</v>
      </c>
      <c r="D68">
        <v>60023.295138789101</v>
      </c>
      <c r="E68">
        <v>2.928466796875</v>
      </c>
      <c r="F68">
        <v>96028.328870885394</v>
      </c>
      <c r="G68">
        <v>3.17708333333323</v>
      </c>
      <c r="H68">
        <v>132031.71017798499</v>
      </c>
      <c r="I68">
        <v>2.9266357421875</v>
      </c>
      <c r="J68">
        <v>168037.08989708099</v>
      </c>
      <c r="K68">
        <v>3.17881266276052</v>
      </c>
      <c r="L68">
        <v>204040.48120518099</v>
      </c>
      <c r="M68">
        <v>2.92449951171875</v>
      </c>
      <c r="N68">
        <v>240045.87993127599</v>
      </c>
      <c r="O68">
        <v>3.1792195638020799</v>
      </c>
      <c r="P68">
        <v>276049.30724037602</v>
      </c>
      <c r="Q68">
        <v>2.926025390625</v>
      </c>
      <c r="R68">
        <v>312054.892969471</v>
      </c>
      <c r="S68">
        <v>3.18013509114573</v>
      </c>
      <c r="T68">
        <v>348058.35227857099</v>
      </c>
      <c r="U68">
        <v>2.9254150390625</v>
      </c>
    </row>
    <row r="69" spans="1:21" x14ac:dyDescent="0.2">
      <c r="A69" s="2">
        <v>67</v>
      </c>
      <c r="B69">
        <v>24383.226001397899</v>
      </c>
      <c r="C69">
        <v>3.1780635949336902</v>
      </c>
      <c r="D69">
        <v>60386.921400497296</v>
      </c>
      <c r="E69">
        <v>2.92755126953125</v>
      </c>
      <c r="F69">
        <v>96391.955132593605</v>
      </c>
      <c r="G69">
        <v>3.17840576171875</v>
      </c>
      <c r="H69">
        <v>132395.33643969399</v>
      </c>
      <c r="I69">
        <v>2.92510986328125</v>
      </c>
      <c r="J69">
        <v>168400.716158789</v>
      </c>
      <c r="K69">
        <v>3.1796387951782901</v>
      </c>
      <c r="L69">
        <v>204404.10746688899</v>
      </c>
      <c r="M69">
        <v>2.9229736328125</v>
      </c>
      <c r="N69">
        <v>240409.506192984</v>
      </c>
      <c r="O69">
        <v>3.1796634558474</v>
      </c>
      <c r="P69">
        <v>276412.93350208399</v>
      </c>
      <c r="Q69">
        <v>2.92449951171875</v>
      </c>
      <c r="R69">
        <v>312418.51923117897</v>
      </c>
      <c r="S69">
        <v>3.1805666528565801</v>
      </c>
      <c r="T69">
        <v>348421.97854027897</v>
      </c>
      <c r="U69">
        <v>2.92388916015625</v>
      </c>
    </row>
    <row r="70" spans="1:21" x14ac:dyDescent="0.2">
      <c r="A70" s="2">
        <v>68</v>
      </c>
      <c r="B70">
        <v>24746.852263106099</v>
      </c>
      <c r="C70">
        <v>3.1787109375</v>
      </c>
      <c r="D70">
        <v>60750.547662205499</v>
      </c>
      <c r="E70">
        <v>2.92633056640625</v>
      </c>
      <c r="F70">
        <v>96755.5813943018</v>
      </c>
      <c r="G70">
        <v>3.1787849195072702</v>
      </c>
      <c r="H70">
        <v>132758.96270140199</v>
      </c>
      <c r="I70">
        <v>2.92388916015625</v>
      </c>
      <c r="J70">
        <v>168764.34242049701</v>
      </c>
      <c r="K70">
        <v>3.1806159741947702</v>
      </c>
      <c r="L70">
        <v>204767.733728597</v>
      </c>
      <c r="M70">
        <v>2.92144775390625</v>
      </c>
      <c r="N70">
        <v>240773.13245469201</v>
      </c>
      <c r="O70">
        <v>3.1812047476719898</v>
      </c>
      <c r="P70">
        <v>276776.55976379197</v>
      </c>
      <c r="Q70">
        <v>2.9229736328125</v>
      </c>
      <c r="R70">
        <v>312782.14549288701</v>
      </c>
      <c r="S70">
        <v>3.18219425702324</v>
      </c>
      <c r="T70">
        <v>348785.60480198701</v>
      </c>
      <c r="U70">
        <v>2.92236328125</v>
      </c>
    </row>
    <row r="71" spans="1:21" x14ac:dyDescent="0.2">
      <c r="A71" s="2">
        <v>69</v>
      </c>
      <c r="B71">
        <v>25110.478524814302</v>
      </c>
      <c r="C71">
        <v>3.17921031605113</v>
      </c>
      <c r="D71">
        <v>61114.173923913702</v>
      </c>
      <c r="E71">
        <v>2.92510986328125</v>
      </c>
      <c r="F71">
        <v>97119.207656009996</v>
      </c>
      <c r="G71">
        <v>3.1804125236740401</v>
      </c>
      <c r="H71">
        <v>133122.58896311</v>
      </c>
      <c r="I71">
        <v>2.92266845703125</v>
      </c>
      <c r="J71">
        <v>169127.96868220501</v>
      </c>
      <c r="K71">
        <v>3.18189216382609</v>
      </c>
      <c r="L71">
        <v>205131.35999030501</v>
      </c>
      <c r="M71">
        <v>2.919921875</v>
      </c>
      <c r="N71">
        <v>241136.75871640001</v>
      </c>
      <c r="O71">
        <v>3.1823083126184399</v>
      </c>
      <c r="P71">
        <v>277140.18602550001</v>
      </c>
      <c r="Q71">
        <v>2.92144775390625</v>
      </c>
      <c r="R71">
        <v>313145.77175459499</v>
      </c>
      <c r="S71">
        <v>3.1829833984375</v>
      </c>
      <c r="T71">
        <v>349149.23106369498</v>
      </c>
      <c r="U71">
        <v>2.92083740234375</v>
      </c>
    </row>
    <row r="72" spans="1:21" x14ac:dyDescent="0.2">
      <c r="A72" s="2">
        <v>70</v>
      </c>
      <c r="B72">
        <v>25474.104786522501</v>
      </c>
      <c r="C72">
        <v>3.1807978466303601</v>
      </c>
      <c r="D72">
        <v>61477.800185621898</v>
      </c>
      <c r="E72">
        <v>2.9241943359375</v>
      </c>
      <c r="F72">
        <v>97482.833917718206</v>
      </c>
      <c r="G72">
        <v>3.1814081981929698</v>
      </c>
      <c r="H72">
        <v>133486.21522481801</v>
      </c>
      <c r="I72">
        <v>2.921142578125</v>
      </c>
      <c r="J72">
        <v>169491.59494391299</v>
      </c>
      <c r="K72">
        <v>3.18282618667088</v>
      </c>
      <c r="L72">
        <v>205494.98625201301</v>
      </c>
      <c r="M72">
        <v>2.91839599609375</v>
      </c>
      <c r="N72">
        <v>241500.38497810799</v>
      </c>
      <c r="O72">
        <v>3.1833378955572198</v>
      </c>
      <c r="P72">
        <v>277503.81228720798</v>
      </c>
      <c r="Q72">
        <v>2.919921875</v>
      </c>
      <c r="R72">
        <v>313509.39801630302</v>
      </c>
      <c r="S72">
        <v>3.1842041015625</v>
      </c>
      <c r="T72">
        <v>349512.85732540302</v>
      </c>
      <c r="U72">
        <v>2.9193115234375</v>
      </c>
    </row>
    <row r="73" spans="1:21" x14ac:dyDescent="0.2">
      <c r="A73" s="2">
        <v>71</v>
      </c>
      <c r="B73">
        <v>25837.7310482307</v>
      </c>
      <c r="C73">
        <v>3.18131572068339</v>
      </c>
      <c r="D73">
        <v>61841.426447329999</v>
      </c>
      <c r="E73">
        <v>2.9229736328125</v>
      </c>
      <c r="F73">
        <v>97846.460179426402</v>
      </c>
      <c r="G73">
        <v>3.18190449416046</v>
      </c>
      <c r="H73">
        <v>133849.84148652601</v>
      </c>
      <c r="I73">
        <v>2.91961669921875</v>
      </c>
      <c r="J73">
        <v>169855.22120562199</v>
      </c>
      <c r="K73">
        <v>3.1838773476959199</v>
      </c>
      <c r="L73">
        <v>205858.61251372201</v>
      </c>
      <c r="M73">
        <v>2.91656494140625</v>
      </c>
      <c r="N73">
        <v>241864.01123981699</v>
      </c>
      <c r="O73">
        <v>3.1842472577337202</v>
      </c>
      <c r="P73">
        <v>277867.43854891701</v>
      </c>
      <c r="Q73">
        <v>2.9180908203125</v>
      </c>
      <c r="R73">
        <v>313873.02427801199</v>
      </c>
      <c r="S73">
        <v>3.1852614277542202</v>
      </c>
      <c r="T73">
        <v>349876.48358711199</v>
      </c>
      <c r="U73">
        <v>2.91748046875</v>
      </c>
    </row>
    <row r="74" spans="1:21" x14ac:dyDescent="0.2">
      <c r="A74" s="2">
        <v>72</v>
      </c>
      <c r="B74">
        <v>26201.3573099389</v>
      </c>
      <c r="C74">
        <v>3.1823175603693299</v>
      </c>
      <c r="D74">
        <v>62205.052709038202</v>
      </c>
      <c r="E74">
        <v>2.92144775390625</v>
      </c>
      <c r="F74">
        <v>98210.086441134597</v>
      </c>
      <c r="G74">
        <v>3.1835660067470499</v>
      </c>
      <c r="H74">
        <v>134213.46774823501</v>
      </c>
      <c r="I74">
        <v>2.9180908203125</v>
      </c>
      <c r="J74">
        <v>170218.84746732999</v>
      </c>
      <c r="K74">
        <v>3.1851473721591499</v>
      </c>
      <c r="L74">
        <v>206222.23877543001</v>
      </c>
      <c r="M74">
        <v>2.9150390625</v>
      </c>
      <c r="N74">
        <v>242227.63750152499</v>
      </c>
      <c r="O74">
        <v>3.18603515625</v>
      </c>
      <c r="P74">
        <v>278231.06481062499</v>
      </c>
      <c r="Q74">
        <v>2.916259765625</v>
      </c>
      <c r="R74">
        <v>314236.65053972002</v>
      </c>
      <c r="S74">
        <v>3.1869784268466299</v>
      </c>
      <c r="T74">
        <v>350240.10984882002</v>
      </c>
      <c r="U74">
        <v>2.9156771573153799</v>
      </c>
    </row>
    <row r="75" spans="1:21" x14ac:dyDescent="0.2">
      <c r="A75" s="2">
        <v>73</v>
      </c>
      <c r="B75">
        <v>26564.983571647001</v>
      </c>
      <c r="C75">
        <v>3.1829833984375</v>
      </c>
      <c r="D75">
        <v>62568.678970746398</v>
      </c>
      <c r="E75">
        <v>2.92022705078125</v>
      </c>
      <c r="F75">
        <v>98573.712702842793</v>
      </c>
      <c r="G75">
        <v>3.18472814078293</v>
      </c>
      <c r="H75">
        <v>134577.09400994299</v>
      </c>
      <c r="I75">
        <v>2.91656494140625</v>
      </c>
      <c r="J75">
        <v>170582.473729038</v>
      </c>
      <c r="K75">
        <v>3.1868181324966902</v>
      </c>
      <c r="L75">
        <v>206585.86503713799</v>
      </c>
      <c r="M75">
        <v>2.9132080078125</v>
      </c>
      <c r="N75">
        <v>242591.263763233</v>
      </c>
      <c r="O75">
        <v>3.1870369959359302</v>
      </c>
      <c r="P75">
        <v>278594.69107233302</v>
      </c>
      <c r="Q75">
        <v>2.9144287109375</v>
      </c>
      <c r="R75">
        <v>314600.276801428</v>
      </c>
      <c r="S75">
        <v>3.18799876203457</v>
      </c>
      <c r="T75">
        <v>350603.736110528</v>
      </c>
      <c r="U75">
        <v>2.913818359375</v>
      </c>
    </row>
    <row r="76" spans="1:21" x14ac:dyDescent="0.2">
      <c r="A76" s="2">
        <v>74</v>
      </c>
      <c r="B76">
        <v>26928.6098333552</v>
      </c>
      <c r="C76">
        <v>3.1839944858743698</v>
      </c>
      <c r="D76">
        <v>62932.305232454601</v>
      </c>
      <c r="E76">
        <v>2.91900634765625</v>
      </c>
      <c r="F76">
        <v>98937.338964551003</v>
      </c>
      <c r="G76">
        <v>3.1853292445945902</v>
      </c>
      <c r="H76">
        <v>134940.72027165099</v>
      </c>
      <c r="I76">
        <v>2.9150390625</v>
      </c>
      <c r="J76">
        <v>170946.09999074601</v>
      </c>
      <c r="K76">
        <v>3.1877614030933001</v>
      </c>
      <c r="L76">
        <v>206949.491298846</v>
      </c>
      <c r="M76">
        <v>2.911376953125</v>
      </c>
      <c r="N76">
        <v>242954.89002494101</v>
      </c>
      <c r="O76">
        <v>3.1882761945627598</v>
      </c>
      <c r="P76">
        <v>278958.317334041</v>
      </c>
      <c r="Q76">
        <v>2.91259765625</v>
      </c>
      <c r="R76">
        <v>314963.90306313598</v>
      </c>
      <c r="S76">
        <v>3.1894876499365798</v>
      </c>
      <c r="T76">
        <v>350967.36237223598</v>
      </c>
      <c r="U76">
        <v>2.9119873046875</v>
      </c>
    </row>
    <row r="77" spans="1:21" x14ac:dyDescent="0.2">
      <c r="A77" s="2">
        <v>75</v>
      </c>
      <c r="B77">
        <v>27292.236095063399</v>
      </c>
      <c r="C77">
        <v>3.18511962890625</v>
      </c>
      <c r="D77">
        <v>63295.931494162804</v>
      </c>
      <c r="E77">
        <v>2.91748046875</v>
      </c>
      <c r="F77">
        <v>99300.965226259199</v>
      </c>
      <c r="G77">
        <v>3.1869414358429098</v>
      </c>
      <c r="H77">
        <v>135304.346533359</v>
      </c>
      <c r="I77">
        <v>2.9132080078125</v>
      </c>
      <c r="J77">
        <v>171309.72625245401</v>
      </c>
      <c r="K77">
        <v>3.1890776663117402</v>
      </c>
      <c r="L77">
        <v>207313.117560554</v>
      </c>
      <c r="M77">
        <v>2.9095458984375</v>
      </c>
      <c r="N77">
        <v>243318.51628664901</v>
      </c>
      <c r="O77">
        <v>3.1899931936552002</v>
      </c>
      <c r="P77">
        <v>279321.94359574898</v>
      </c>
      <c r="Q77">
        <v>2.91046142578125</v>
      </c>
      <c r="R77">
        <v>315327.52932484401</v>
      </c>
      <c r="S77">
        <v>3.19090872099923</v>
      </c>
      <c r="T77">
        <v>351330.98863394401</v>
      </c>
      <c r="U77">
        <v>2.90985107421875</v>
      </c>
    </row>
    <row r="78" spans="1:21" x14ac:dyDescent="0.2">
      <c r="A78" s="2">
        <v>76</v>
      </c>
      <c r="B78">
        <v>27655.862356771599</v>
      </c>
      <c r="C78">
        <v>3.18634033203125</v>
      </c>
      <c r="D78">
        <v>63659.557755870999</v>
      </c>
      <c r="E78">
        <v>2.91595458984375</v>
      </c>
      <c r="F78">
        <v>99664.591487967395</v>
      </c>
      <c r="G78">
        <v>3.1879895142833501</v>
      </c>
      <c r="H78">
        <v>135667.97279506701</v>
      </c>
      <c r="I78">
        <v>2.911376953125</v>
      </c>
      <c r="J78">
        <v>171673.35251416301</v>
      </c>
      <c r="K78">
        <v>3.1902428829312299</v>
      </c>
      <c r="L78">
        <v>207676.743822263</v>
      </c>
      <c r="M78">
        <v>2.90740966796875</v>
      </c>
      <c r="N78">
        <v>243682.14254835801</v>
      </c>
      <c r="O78">
        <v>3.1907946654039798</v>
      </c>
      <c r="P78">
        <v>279685.569857458</v>
      </c>
      <c r="Q78">
        <v>2.90863037109375</v>
      </c>
      <c r="R78">
        <v>315691.15558655298</v>
      </c>
      <c r="S78">
        <v>3.1918920651833198</v>
      </c>
      <c r="T78">
        <v>351694.61489565298</v>
      </c>
      <c r="U78">
        <v>2.90771484375</v>
      </c>
    </row>
    <row r="79" spans="1:21" x14ac:dyDescent="0.2">
      <c r="A79" s="2">
        <v>77</v>
      </c>
      <c r="B79">
        <v>28019.488618479802</v>
      </c>
      <c r="C79">
        <v>3.1871880425347299</v>
      </c>
      <c r="D79">
        <v>64023.184017579202</v>
      </c>
      <c r="E79">
        <v>2.9144287109375</v>
      </c>
      <c r="F79">
        <v>100028.217749676</v>
      </c>
      <c r="G79">
        <v>3.189697265625</v>
      </c>
      <c r="H79">
        <v>136031.599056776</v>
      </c>
      <c r="I79">
        <v>2.9095458984375</v>
      </c>
      <c r="J79">
        <v>172036.97877587099</v>
      </c>
      <c r="K79">
        <v>3.1912909613716001</v>
      </c>
      <c r="L79">
        <v>208040.37008397101</v>
      </c>
      <c r="M79">
        <v>2.9052734375</v>
      </c>
      <c r="N79">
        <v>244045.76881006599</v>
      </c>
      <c r="O79">
        <v>3.1927490234375</v>
      </c>
      <c r="P79">
        <v>280049.19611916598</v>
      </c>
      <c r="Q79">
        <v>2.906494140625</v>
      </c>
      <c r="R79">
        <v>316054.78184826102</v>
      </c>
      <c r="S79">
        <v>3.1934271918403501</v>
      </c>
      <c r="T79">
        <v>352058.24115736102</v>
      </c>
      <c r="U79">
        <v>2.90557861328125</v>
      </c>
    </row>
    <row r="80" spans="1:21" x14ac:dyDescent="0.2">
      <c r="A80" s="2">
        <v>78</v>
      </c>
      <c r="B80">
        <v>28383.114880188001</v>
      </c>
      <c r="C80">
        <v>3.1881251479640298</v>
      </c>
      <c r="D80">
        <v>64386.810279287398</v>
      </c>
      <c r="E80">
        <v>2.91259765625</v>
      </c>
      <c r="F80">
        <v>100391.844011384</v>
      </c>
      <c r="G80">
        <v>3.19065903172348</v>
      </c>
      <c r="H80">
        <v>136395.22531848401</v>
      </c>
      <c r="I80">
        <v>2.90771484375</v>
      </c>
      <c r="J80">
        <v>172400.60503757899</v>
      </c>
      <c r="K80">
        <v>3.1927490234375</v>
      </c>
      <c r="L80">
        <v>208403.99634567901</v>
      </c>
      <c r="M80">
        <v>2.90313720703125</v>
      </c>
      <c r="N80">
        <v>244409.39507177399</v>
      </c>
      <c r="O80">
        <v>3.1936183120265298</v>
      </c>
      <c r="P80">
        <v>280412.82238087401</v>
      </c>
      <c r="Q80">
        <v>2.904052734375</v>
      </c>
      <c r="R80">
        <v>316418.40810996899</v>
      </c>
      <c r="S80">
        <v>3.1952366684421798</v>
      </c>
      <c r="T80">
        <v>352421.86741906899</v>
      </c>
      <c r="U80">
        <v>2.9031834457859298</v>
      </c>
    </row>
    <row r="81" spans="1:21" x14ac:dyDescent="0.2">
      <c r="A81" s="2">
        <v>79</v>
      </c>
      <c r="B81">
        <v>28746.7411418962</v>
      </c>
      <c r="C81">
        <v>3.18939208984375</v>
      </c>
      <c r="D81">
        <v>64750.436540995601</v>
      </c>
      <c r="E81">
        <v>2.91107177734375</v>
      </c>
      <c r="F81">
        <v>100755.470273092</v>
      </c>
      <c r="G81">
        <v>3.1918489090118598</v>
      </c>
      <c r="H81">
        <v>136758.85158019199</v>
      </c>
      <c r="I81">
        <v>2.90557861328125</v>
      </c>
      <c r="J81">
        <v>172764.231299287</v>
      </c>
      <c r="K81">
        <v>3.19366455078125</v>
      </c>
      <c r="L81">
        <v>208767.62260738699</v>
      </c>
      <c r="M81">
        <v>2.9010009765625</v>
      </c>
      <c r="N81">
        <v>244773.021333482</v>
      </c>
      <c r="O81">
        <v>3.19474037247479</v>
      </c>
      <c r="P81">
        <v>280776.44864258199</v>
      </c>
      <c r="Q81">
        <v>2.90191650390625</v>
      </c>
      <c r="R81">
        <v>316782.03437167697</v>
      </c>
      <c r="S81">
        <v>3.1968766029433899</v>
      </c>
      <c r="T81">
        <v>352785.49368077703</v>
      </c>
      <c r="U81">
        <v>2.9010009765625</v>
      </c>
    </row>
    <row r="82" spans="1:21" x14ac:dyDescent="0.2">
      <c r="A82" s="2">
        <v>80</v>
      </c>
      <c r="B82">
        <v>29110.367403604399</v>
      </c>
      <c r="C82">
        <v>3.1903076171875</v>
      </c>
      <c r="D82">
        <v>65114.062802703796</v>
      </c>
      <c r="E82">
        <v>2.90924072265625</v>
      </c>
      <c r="F82">
        <v>101119.0965348</v>
      </c>
      <c r="G82">
        <v>3.1928106751107301</v>
      </c>
      <c r="H82">
        <v>137122.47784189999</v>
      </c>
      <c r="I82">
        <v>2.9034423828125</v>
      </c>
      <c r="J82">
        <v>173127.85756099501</v>
      </c>
      <c r="K82">
        <v>3.1960134795212798</v>
      </c>
      <c r="L82">
        <v>209131.248869095</v>
      </c>
      <c r="M82">
        <v>2.8985595703125</v>
      </c>
      <c r="N82">
        <v>245136.64759519001</v>
      </c>
      <c r="O82">
        <v>3.1963494811397299</v>
      </c>
      <c r="P82">
        <v>281140.07490429003</v>
      </c>
      <c r="Q82">
        <v>2.89947509765625</v>
      </c>
      <c r="R82">
        <v>317145.66063338501</v>
      </c>
      <c r="S82">
        <v>3.1982113616633399</v>
      </c>
      <c r="T82">
        <v>353149.11994248501</v>
      </c>
      <c r="U82">
        <v>2.89825439453125</v>
      </c>
    </row>
    <row r="83" spans="1:21" x14ac:dyDescent="0.2">
      <c r="A83" s="2">
        <v>81</v>
      </c>
      <c r="B83">
        <v>29473.993665312599</v>
      </c>
      <c r="C83">
        <v>3.1916115500710198</v>
      </c>
      <c r="D83">
        <v>65477.689064411999</v>
      </c>
      <c r="E83">
        <v>2.9071044921875</v>
      </c>
      <c r="F83">
        <v>101482.72279650799</v>
      </c>
      <c r="G83">
        <v>3.19427490234375</v>
      </c>
      <c r="H83">
        <v>137486.104103608</v>
      </c>
      <c r="I83">
        <v>2.90130615234375</v>
      </c>
      <c r="J83">
        <v>173491.483822704</v>
      </c>
      <c r="K83">
        <v>3.1961891867896299</v>
      </c>
      <c r="L83">
        <v>209494.87513080399</v>
      </c>
      <c r="M83">
        <v>2.8961181640625</v>
      </c>
      <c r="N83">
        <v>245500.273856899</v>
      </c>
      <c r="O83">
        <v>3.19771506569611</v>
      </c>
      <c r="P83">
        <v>281503.70116599899</v>
      </c>
      <c r="Q83">
        <v>2.89703369140625</v>
      </c>
      <c r="R83">
        <v>317509.28689509397</v>
      </c>
      <c r="S83">
        <v>3.1999067826707499</v>
      </c>
      <c r="T83">
        <v>353512.74620419397</v>
      </c>
      <c r="U83">
        <v>2.89581298828125</v>
      </c>
    </row>
    <row r="84" spans="1:21" x14ac:dyDescent="0.2">
      <c r="A84" s="2">
        <v>82</v>
      </c>
      <c r="B84">
        <v>29837.619927020802</v>
      </c>
      <c r="C84">
        <v>3.1931805851484101</v>
      </c>
      <c r="D84">
        <v>65841.315326120195</v>
      </c>
      <c r="E84">
        <v>2.9051655470722899</v>
      </c>
      <c r="F84">
        <v>101846.34905821701</v>
      </c>
      <c r="G84">
        <v>3.19580078125</v>
      </c>
      <c r="H84">
        <v>137849.73036531699</v>
      </c>
      <c r="I84">
        <v>2.89886474609375</v>
      </c>
      <c r="J84">
        <v>173855.11008441201</v>
      </c>
      <c r="K84">
        <v>3.1984394728534502</v>
      </c>
      <c r="L84">
        <v>209858.501392512</v>
      </c>
      <c r="M84">
        <v>2.8936767578125</v>
      </c>
      <c r="N84">
        <v>245863.90011860701</v>
      </c>
      <c r="O84">
        <v>3.1993550001973099</v>
      </c>
      <c r="P84">
        <v>281867.32742770697</v>
      </c>
      <c r="Q84">
        <v>2.894287109375</v>
      </c>
      <c r="R84">
        <v>317872.91315680201</v>
      </c>
      <c r="S84">
        <v>3.2015097261680801</v>
      </c>
      <c r="T84">
        <v>353876.37246590201</v>
      </c>
      <c r="U84">
        <v>2.89306640625</v>
      </c>
    </row>
    <row r="85" spans="1:21" x14ac:dyDescent="0.2">
      <c r="A85" s="2">
        <v>83</v>
      </c>
      <c r="B85">
        <v>30201.246188729001</v>
      </c>
      <c r="C85">
        <v>3.194580078125</v>
      </c>
      <c r="D85">
        <v>66204.941587828405</v>
      </c>
      <c r="E85">
        <v>2.90283203125</v>
      </c>
      <c r="F85">
        <v>102209.975319925</v>
      </c>
      <c r="G85">
        <v>3.1970276495422998</v>
      </c>
      <c r="H85">
        <v>138213.356627025</v>
      </c>
      <c r="I85">
        <v>2.89642333984375</v>
      </c>
      <c r="J85">
        <v>174218.73634611999</v>
      </c>
      <c r="K85">
        <v>3.19916388001102</v>
      </c>
      <c r="L85">
        <v>210222.12765422001</v>
      </c>
      <c r="M85">
        <v>2.89093017578125</v>
      </c>
      <c r="N85">
        <v>246227.52638031499</v>
      </c>
      <c r="O85">
        <v>3.2007020892518301</v>
      </c>
      <c r="P85">
        <v>282230.95368941501</v>
      </c>
      <c r="Q85">
        <v>2.89154052734375</v>
      </c>
      <c r="R85">
        <v>318236.53941850999</v>
      </c>
      <c r="S85">
        <v>3.20343017578125</v>
      </c>
      <c r="T85">
        <v>354239.99872760999</v>
      </c>
      <c r="U85">
        <v>2.89031982421875</v>
      </c>
    </row>
    <row r="86" spans="1:21" x14ac:dyDescent="0.2">
      <c r="A86" s="2">
        <v>84</v>
      </c>
      <c r="B86">
        <v>30564.8724504372</v>
      </c>
      <c r="C86">
        <v>3.1952459161931501</v>
      </c>
      <c r="D86">
        <v>66568.567849536601</v>
      </c>
      <c r="E86">
        <v>2.900390625</v>
      </c>
      <c r="F86">
        <v>102573.601581633</v>
      </c>
      <c r="G86">
        <v>3.1984271425189901</v>
      </c>
      <c r="H86">
        <v>138576.98288873301</v>
      </c>
      <c r="I86">
        <v>2.89398193359375</v>
      </c>
      <c r="J86">
        <v>174582.36260782799</v>
      </c>
      <c r="K86">
        <v>3.2007483280067901</v>
      </c>
      <c r="L86">
        <v>210585.75391592801</v>
      </c>
      <c r="M86">
        <v>2.88818359375</v>
      </c>
      <c r="N86">
        <v>246591.15264202299</v>
      </c>
      <c r="O86">
        <v>3.20281982421875</v>
      </c>
      <c r="P86">
        <v>282594.57995112299</v>
      </c>
      <c r="Q86">
        <v>2.8887939453125</v>
      </c>
      <c r="R86">
        <v>318600.16568021802</v>
      </c>
      <c r="S86">
        <v>3.20507627544972</v>
      </c>
      <c r="T86">
        <v>354603.62498931802</v>
      </c>
      <c r="U86">
        <v>2.88726806640625</v>
      </c>
    </row>
    <row r="87" spans="1:21" x14ac:dyDescent="0.2">
      <c r="A87" s="2">
        <v>85</v>
      </c>
      <c r="B87">
        <v>30928.4987121454</v>
      </c>
      <c r="C87">
        <v>3.19685810744163</v>
      </c>
      <c r="D87">
        <v>66932.194111244797</v>
      </c>
      <c r="E87">
        <v>2.89764404296875</v>
      </c>
      <c r="F87">
        <v>102937.227843341</v>
      </c>
      <c r="G87">
        <v>3.2001441416115299</v>
      </c>
      <c r="H87">
        <v>138940.60915044101</v>
      </c>
      <c r="I87">
        <v>2.8912353515625</v>
      </c>
      <c r="J87">
        <v>174945.988869536</v>
      </c>
      <c r="K87">
        <v>3.2019751962990699</v>
      </c>
      <c r="L87">
        <v>210949.38017763599</v>
      </c>
      <c r="M87">
        <v>2.8853661122949199</v>
      </c>
      <c r="N87">
        <v>246954.778903731</v>
      </c>
      <c r="O87">
        <v>3.20418232619142</v>
      </c>
      <c r="P87">
        <v>282958.20621283102</v>
      </c>
      <c r="Q87">
        <v>2.8857421875</v>
      </c>
      <c r="R87">
        <v>318963.791941926</v>
      </c>
      <c r="S87">
        <v>3.206787109375</v>
      </c>
      <c r="T87">
        <v>354967.251251026</v>
      </c>
      <c r="U87">
        <v>2.88421630859375</v>
      </c>
    </row>
    <row r="88" spans="1:21" x14ac:dyDescent="0.2">
      <c r="A88" s="2">
        <v>86</v>
      </c>
      <c r="B88">
        <v>31292.124973853599</v>
      </c>
      <c r="C88">
        <v>3.1985042071101701</v>
      </c>
      <c r="D88">
        <v>67295.820372953007</v>
      </c>
      <c r="E88">
        <v>2.8948974609375</v>
      </c>
      <c r="F88">
        <v>103300.854105049</v>
      </c>
      <c r="G88">
        <v>3.2005078864816401</v>
      </c>
      <c r="H88">
        <v>139304.23541214899</v>
      </c>
      <c r="I88">
        <v>2.88818359375</v>
      </c>
      <c r="J88">
        <v>175309.61513124499</v>
      </c>
      <c r="K88">
        <v>3.2036921953915698</v>
      </c>
      <c r="L88">
        <v>211313.00643934499</v>
      </c>
      <c r="M88">
        <v>2.88238525390625</v>
      </c>
      <c r="N88">
        <v>247318.40516544</v>
      </c>
      <c r="O88">
        <v>3.2057852696888598</v>
      </c>
      <c r="P88">
        <v>283321.83247453999</v>
      </c>
      <c r="Q88">
        <v>2.8826904296875</v>
      </c>
      <c r="R88">
        <v>319327.41820363502</v>
      </c>
      <c r="S88">
        <v>3.2086181640625</v>
      </c>
      <c r="T88">
        <v>355330.87751273502</v>
      </c>
      <c r="U88">
        <v>2.88116455078125</v>
      </c>
    </row>
    <row r="89" spans="1:21" x14ac:dyDescent="0.2">
      <c r="A89" s="2">
        <v>87</v>
      </c>
      <c r="B89">
        <v>31655.751235561798</v>
      </c>
      <c r="C89">
        <v>3.2002304539535902</v>
      </c>
      <c r="D89">
        <v>67659.446634661203</v>
      </c>
      <c r="E89">
        <v>2.891845703125</v>
      </c>
      <c r="F89">
        <v>103664.480366758</v>
      </c>
      <c r="G89">
        <v>3.20281982421875</v>
      </c>
      <c r="H89">
        <v>139667.86167385799</v>
      </c>
      <c r="I89">
        <v>2.8851318359375</v>
      </c>
      <c r="J89">
        <v>175673.241392953</v>
      </c>
      <c r="K89">
        <v>3.2049560546875</v>
      </c>
      <c r="L89">
        <v>211676.63270105299</v>
      </c>
      <c r="M89">
        <v>2.8790283203125</v>
      </c>
      <c r="N89">
        <v>247682.031427148</v>
      </c>
      <c r="O89">
        <v>3.2073974609375</v>
      </c>
      <c r="P89">
        <v>283685.45873624802</v>
      </c>
      <c r="Q89">
        <v>2.879638671875</v>
      </c>
      <c r="R89">
        <v>319691.044465343</v>
      </c>
      <c r="S89">
        <v>3.2112167820785</v>
      </c>
      <c r="T89">
        <v>355694.503774443</v>
      </c>
      <c r="U89">
        <v>2.8778076171875</v>
      </c>
    </row>
    <row r="90" spans="1:21" x14ac:dyDescent="0.2">
      <c r="A90" s="2">
        <v>88</v>
      </c>
      <c r="B90">
        <v>32019.377497270001</v>
      </c>
      <c r="C90">
        <v>3.2012939453125</v>
      </c>
      <c r="D90">
        <v>68023.072896369398</v>
      </c>
      <c r="E90">
        <v>2.88848876953125</v>
      </c>
      <c r="F90">
        <v>104028.106628466</v>
      </c>
      <c r="G90">
        <v>3.2037692599826499</v>
      </c>
      <c r="H90">
        <v>140031.48793556599</v>
      </c>
      <c r="I90">
        <v>2.88177490234375</v>
      </c>
      <c r="J90">
        <v>176036.86765466101</v>
      </c>
      <c r="K90">
        <v>3.20648193359375</v>
      </c>
      <c r="L90">
        <v>212040.258962761</v>
      </c>
      <c r="M90">
        <v>2.87567138671875</v>
      </c>
      <c r="N90">
        <v>248045.65768885601</v>
      </c>
      <c r="O90">
        <v>3.209228515625</v>
      </c>
      <c r="P90">
        <v>284049.084997956</v>
      </c>
      <c r="Q90">
        <v>2.8759765625</v>
      </c>
      <c r="R90">
        <v>320054.67072705098</v>
      </c>
      <c r="S90">
        <v>3.2120429144965899</v>
      </c>
      <c r="T90">
        <v>356058.13003615098</v>
      </c>
      <c r="U90">
        <v>2.8744167751735898</v>
      </c>
    </row>
    <row r="91" spans="1:21" x14ac:dyDescent="0.2">
      <c r="A91" s="2">
        <v>89</v>
      </c>
      <c r="B91">
        <v>32383.0037589782</v>
      </c>
      <c r="C91">
        <v>3.2027550899620998</v>
      </c>
      <c r="D91">
        <v>68386.699158077594</v>
      </c>
      <c r="E91">
        <v>2.88482666015625</v>
      </c>
      <c r="F91">
        <v>104391.732890174</v>
      </c>
      <c r="G91">
        <v>3.20587158203125</v>
      </c>
      <c r="H91">
        <v>140395.114197274</v>
      </c>
      <c r="I91">
        <v>2.87811279296875</v>
      </c>
      <c r="J91">
        <v>176400.49391636901</v>
      </c>
      <c r="K91">
        <v>3.2081526939316101</v>
      </c>
      <c r="L91">
        <v>212403.88522446901</v>
      </c>
      <c r="M91">
        <v>2.87200927734375</v>
      </c>
      <c r="N91">
        <v>248409.28395056399</v>
      </c>
      <c r="O91">
        <v>3.2106742473563501</v>
      </c>
      <c r="P91">
        <v>284412.71125966398</v>
      </c>
      <c r="Q91">
        <v>2.87261962890625</v>
      </c>
      <c r="R91">
        <v>320418.29698875902</v>
      </c>
      <c r="S91">
        <v>3.21480182686232</v>
      </c>
      <c r="T91">
        <v>356421.75629785901</v>
      </c>
      <c r="U91">
        <v>2.87078857421875</v>
      </c>
    </row>
    <row r="92" spans="1:21" x14ac:dyDescent="0.2">
      <c r="A92" s="2">
        <v>90</v>
      </c>
      <c r="B92">
        <v>32746.6300206864</v>
      </c>
      <c r="C92">
        <v>3.20465087890625</v>
      </c>
      <c r="D92">
        <v>68750.325419785804</v>
      </c>
      <c r="E92">
        <v>2.88074840198863</v>
      </c>
      <c r="F92">
        <v>104755.359151882</v>
      </c>
      <c r="G92">
        <v>3.206787109375</v>
      </c>
      <c r="H92">
        <v>140758.74045898201</v>
      </c>
      <c r="I92">
        <v>2.8741455078125</v>
      </c>
      <c r="J92">
        <v>176764.12017807699</v>
      </c>
      <c r="K92">
        <v>3.209228515625</v>
      </c>
      <c r="L92">
        <v>212767.51148617701</v>
      </c>
      <c r="M92">
        <v>2.86834716796875</v>
      </c>
      <c r="N92">
        <v>248772.91021227199</v>
      </c>
      <c r="O92">
        <v>3.2125022194600601</v>
      </c>
      <c r="P92">
        <v>284776.33752137201</v>
      </c>
      <c r="Q92">
        <v>2.86895751953125</v>
      </c>
      <c r="R92">
        <v>320781.92325046699</v>
      </c>
      <c r="S92">
        <v>3.2166637073864801</v>
      </c>
      <c r="T92">
        <v>356785.38255956699</v>
      </c>
      <c r="U92">
        <v>2.86712646484375</v>
      </c>
    </row>
    <row r="93" spans="1:21" x14ac:dyDescent="0.2">
      <c r="A93" s="2">
        <v>91</v>
      </c>
      <c r="B93">
        <v>33110.256282394497</v>
      </c>
      <c r="C93">
        <v>3.20648193359375</v>
      </c>
      <c r="D93">
        <v>69113.951681493898</v>
      </c>
      <c r="E93">
        <v>2.8765869140625</v>
      </c>
      <c r="F93">
        <v>105118.98541359</v>
      </c>
      <c r="G93">
        <v>3.20953060882275</v>
      </c>
      <c r="H93">
        <v>141122.36672069001</v>
      </c>
      <c r="I93">
        <v>2.87017822265625</v>
      </c>
      <c r="J93">
        <v>177127.746439785</v>
      </c>
      <c r="K93">
        <v>3.2116606741245399</v>
      </c>
      <c r="L93">
        <v>213131.13774788499</v>
      </c>
      <c r="M93">
        <v>2.86468505859375</v>
      </c>
      <c r="N93">
        <v>249136.53647398</v>
      </c>
      <c r="O93">
        <v>3.21441650390625</v>
      </c>
      <c r="P93">
        <v>285139.96378307999</v>
      </c>
      <c r="Q93">
        <v>2.86529541015625</v>
      </c>
      <c r="R93">
        <v>321145.54951217602</v>
      </c>
      <c r="S93">
        <v>3.2180878610316799</v>
      </c>
      <c r="T93">
        <v>357149.00882127503</v>
      </c>
      <c r="U93">
        <v>2.8631591796875</v>
      </c>
    </row>
    <row r="94" spans="1:21" x14ac:dyDescent="0.2">
      <c r="A94" s="2">
        <v>92</v>
      </c>
      <c r="B94">
        <v>33473.8825441027</v>
      </c>
      <c r="C94">
        <v>3.20880620166509</v>
      </c>
      <c r="D94">
        <v>69477.577943202094</v>
      </c>
      <c r="E94">
        <v>2.87200927734375</v>
      </c>
      <c r="F94">
        <v>105482.61167529901</v>
      </c>
      <c r="G94">
        <v>3.2111304697366001</v>
      </c>
      <c r="H94">
        <v>141485.99298239901</v>
      </c>
      <c r="I94">
        <v>2.8662109375</v>
      </c>
      <c r="J94">
        <v>177491.37270149399</v>
      </c>
      <c r="K94">
        <v>3.2133591777142301</v>
      </c>
      <c r="L94">
        <v>213494.76400959399</v>
      </c>
      <c r="M94">
        <v>2.86041259765625</v>
      </c>
      <c r="N94">
        <v>249500.16273568899</v>
      </c>
      <c r="O94">
        <v>3.21685791015625</v>
      </c>
      <c r="P94">
        <v>285503.59004478902</v>
      </c>
      <c r="Q94">
        <v>2.861328125</v>
      </c>
      <c r="R94">
        <v>321509.175773884</v>
      </c>
      <c r="S94">
        <v>3.2212012705178701</v>
      </c>
      <c r="T94">
        <v>357512.63508298399</v>
      </c>
      <c r="U94">
        <v>2.85919189453125</v>
      </c>
    </row>
    <row r="95" spans="1:21" x14ac:dyDescent="0.2">
      <c r="A95" s="2">
        <v>93</v>
      </c>
      <c r="B95">
        <v>33837.508805810903</v>
      </c>
      <c r="C95">
        <v>3.2112167820785902</v>
      </c>
      <c r="D95">
        <v>69841.204204910304</v>
      </c>
      <c r="E95">
        <v>2.86712646484375</v>
      </c>
      <c r="F95">
        <v>105846.237937007</v>
      </c>
      <c r="G95">
        <v>3.2135009765625</v>
      </c>
      <c r="H95">
        <v>141849.61924410699</v>
      </c>
      <c r="I95">
        <v>2.86163330078125</v>
      </c>
      <c r="J95">
        <v>177854.998963202</v>
      </c>
      <c r="K95">
        <v>3.2154799952652402</v>
      </c>
      <c r="L95">
        <v>213858.39027130199</v>
      </c>
      <c r="M95">
        <v>2.8564453125</v>
      </c>
      <c r="N95">
        <v>249863.788997397</v>
      </c>
      <c r="O95">
        <v>3.21868896484375</v>
      </c>
      <c r="P95">
        <v>285867.21630649699</v>
      </c>
      <c r="Q95">
        <v>2.8570556640625</v>
      </c>
      <c r="R95">
        <v>321872.80203559197</v>
      </c>
      <c r="S95">
        <v>3.22357177734375</v>
      </c>
      <c r="T95">
        <v>357876.26134469197</v>
      </c>
      <c r="U95">
        <v>2.85491943359375</v>
      </c>
    </row>
    <row r="96" spans="1:21" x14ac:dyDescent="0.2">
      <c r="A96" s="2">
        <v>94</v>
      </c>
      <c r="B96">
        <v>34201.135067519099</v>
      </c>
      <c r="C96">
        <v>3.2134609029750698</v>
      </c>
      <c r="D96">
        <v>70204.830466618499</v>
      </c>
      <c r="E96">
        <v>2.86224365234375</v>
      </c>
      <c r="F96">
        <v>106209.864198715</v>
      </c>
      <c r="G96">
        <v>3.21563720703125</v>
      </c>
      <c r="H96">
        <v>142213.24550581499</v>
      </c>
      <c r="I96">
        <v>2.8570556640625</v>
      </c>
      <c r="J96">
        <v>178218.62522491001</v>
      </c>
      <c r="K96">
        <v>3.21807861328125</v>
      </c>
      <c r="L96">
        <v>214222.01653301</v>
      </c>
      <c r="M96">
        <v>2.85186767578125</v>
      </c>
      <c r="N96">
        <v>250227.41525910501</v>
      </c>
      <c r="O96">
        <v>3.2219256776751499</v>
      </c>
      <c r="P96">
        <v>286230.84256820497</v>
      </c>
      <c r="Q96">
        <v>2.85308837890625</v>
      </c>
      <c r="R96">
        <v>322236.42829730001</v>
      </c>
      <c r="S96">
        <v>3.2271938131313198</v>
      </c>
      <c r="T96">
        <v>358239.88760640001</v>
      </c>
      <c r="U96">
        <v>2.8509521484375</v>
      </c>
    </row>
    <row r="97" spans="1:21" x14ac:dyDescent="0.2">
      <c r="A97" s="2">
        <v>95</v>
      </c>
      <c r="B97">
        <v>34564.761329227302</v>
      </c>
      <c r="C97">
        <v>3.2160965119949498</v>
      </c>
      <c r="D97">
        <v>70568.456728326695</v>
      </c>
      <c r="E97">
        <v>2.8570556640625</v>
      </c>
      <c r="F97">
        <v>106573.490460423</v>
      </c>
      <c r="G97">
        <v>3.2176193083176199</v>
      </c>
      <c r="H97">
        <v>142576.871767523</v>
      </c>
      <c r="I97">
        <v>2.85247802734375</v>
      </c>
      <c r="J97">
        <v>178582.25148661801</v>
      </c>
      <c r="K97">
        <v>3.2205169369477802</v>
      </c>
      <c r="L97">
        <v>214585.64279471801</v>
      </c>
      <c r="M97">
        <v>2.8472900390625</v>
      </c>
      <c r="N97">
        <v>250591.04152081301</v>
      </c>
      <c r="O97">
        <v>3.22448422210371</v>
      </c>
      <c r="P97">
        <v>286594.46882991301</v>
      </c>
      <c r="Q97">
        <v>2.8485107421875</v>
      </c>
      <c r="R97">
        <v>322600.05455900799</v>
      </c>
      <c r="S97">
        <v>3.2299773861665102</v>
      </c>
      <c r="T97">
        <v>358603.51386810798</v>
      </c>
      <c r="U97">
        <v>2.84637451171875</v>
      </c>
    </row>
    <row r="98" spans="1:21" x14ac:dyDescent="0.2">
      <c r="A98" s="2">
        <v>96</v>
      </c>
      <c r="B98">
        <v>34928.387590935497</v>
      </c>
      <c r="C98">
        <v>3.21868896484375</v>
      </c>
      <c r="D98">
        <v>70932.082990034905</v>
      </c>
      <c r="E98">
        <v>2.85186767578125</v>
      </c>
      <c r="F98">
        <v>106937.116722131</v>
      </c>
      <c r="G98">
        <v>3.2203258167617599</v>
      </c>
      <c r="H98">
        <v>142940.49802923101</v>
      </c>
      <c r="I98">
        <v>2.84759521484375</v>
      </c>
      <c r="J98">
        <v>178945.87774832599</v>
      </c>
      <c r="K98">
        <v>3.2238399621210698</v>
      </c>
      <c r="L98">
        <v>214949.26905642601</v>
      </c>
      <c r="M98">
        <v>2.84271240234375</v>
      </c>
      <c r="N98">
        <v>250954.66778252099</v>
      </c>
      <c r="O98">
        <v>3.2270026929448199</v>
      </c>
      <c r="P98">
        <v>286958.09509162098</v>
      </c>
      <c r="Q98">
        <v>2.84393310546875</v>
      </c>
      <c r="R98">
        <v>322963.68082071602</v>
      </c>
      <c r="S98">
        <v>3.2333743933476802</v>
      </c>
      <c r="T98">
        <v>358967.14012981602</v>
      </c>
      <c r="U98">
        <v>2.841796875</v>
      </c>
    </row>
    <row r="99" spans="1:21" x14ac:dyDescent="0.2">
      <c r="A99" s="2">
        <v>97</v>
      </c>
      <c r="B99">
        <v>35292.0138526437</v>
      </c>
      <c r="C99">
        <v>3.22227400962753</v>
      </c>
      <c r="D99">
        <v>71295.709251743101</v>
      </c>
      <c r="E99">
        <v>2.8466796875</v>
      </c>
      <c r="F99">
        <v>107300.74298384</v>
      </c>
      <c r="G99">
        <v>3.2237998885338901</v>
      </c>
      <c r="H99">
        <v>143304.12429094</v>
      </c>
      <c r="I99">
        <v>2.84271240234375</v>
      </c>
      <c r="J99">
        <v>179309.50401003499</v>
      </c>
      <c r="K99">
        <v>3.2268516463463901</v>
      </c>
      <c r="L99">
        <v>215312.89531813501</v>
      </c>
      <c r="M99">
        <v>2.838134765625</v>
      </c>
      <c r="N99">
        <v>251318.29404422999</v>
      </c>
      <c r="O99">
        <v>3.2313522184735799</v>
      </c>
      <c r="P99">
        <v>287321.72135333001</v>
      </c>
      <c r="Q99">
        <v>2.83935546875</v>
      </c>
      <c r="R99">
        <v>323327.30708242499</v>
      </c>
      <c r="S99">
        <v>3.2373817520911001</v>
      </c>
      <c r="T99">
        <v>359330.76639152499</v>
      </c>
      <c r="U99">
        <v>2.83721923828125</v>
      </c>
    </row>
    <row r="100" spans="1:21" x14ac:dyDescent="0.2">
      <c r="A100" s="2">
        <v>98</v>
      </c>
      <c r="B100">
        <v>35655.640114351903</v>
      </c>
      <c r="C100">
        <v>3.2252117118450099</v>
      </c>
      <c r="D100">
        <v>71659.335513451297</v>
      </c>
      <c r="E100">
        <v>2.8411865234375</v>
      </c>
      <c r="F100">
        <v>107664.369245548</v>
      </c>
      <c r="G100">
        <v>3.22723388671875</v>
      </c>
      <c r="H100">
        <v>143667.75055264801</v>
      </c>
      <c r="I100">
        <v>2.8375244140625</v>
      </c>
      <c r="J100">
        <v>179673.13027174299</v>
      </c>
      <c r="K100">
        <v>3.2303226355352099</v>
      </c>
      <c r="L100">
        <v>215676.52157984301</v>
      </c>
      <c r="M100">
        <v>2.83355712890625</v>
      </c>
      <c r="N100">
        <v>251681.92030593799</v>
      </c>
      <c r="O100">
        <v>3.2349773368449601</v>
      </c>
      <c r="P100">
        <v>287685.34761503799</v>
      </c>
      <c r="Q100">
        <v>2.83477783203125</v>
      </c>
      <c r="R100">
        <v>323690.93334413302</v>
      </c>
      <c r="S100">
        <v>3.24249267578125</v>
      </c>
      <c r="T100">
        <v>359694.39265323302</v>
      </c>
      <c r="U100">
        <v>2.8326416015625</v>
      </c>
    </row>
    <row r="101" spans="1:21" x14ac:dyDescent="0.2">
      <c r="A101" s="2">
        <v>99</v>
      </c>
      <c r="B101">
        <v>36019.266376060099</v>
      </c>
      <c r="C101">
        <v>3.22906494140625</v>
      </c>
      <c r="D101">
        <v>72022.961775159507</v>
      </c>
      <c r="E101">
        <v>2.83599853515625</v>
      </c>
      <c r="F101">
        <v>108027.995507256</v>
      </c>
      <c r="G101">
        <v>3.23089599609375</v>
      </c>
      <c r="H101">
        <v>144031.37681435599</v>
      </c>
      <c r="I101">
        <v>2.8326416015625</v>
      </c>
      <c r="J101">
        <v>180036.756533451</v>
      </c>
      <c r="K101">
        <v>3.23455810546875</v>
      </c>
      <c r="L101">
        <v>216040.14784155099</v>
      </c>
      <c r="M101">
        <v>2.82867431640625</v>
      </c>
      <c r="N101">
        <v>252045.546567646</v>
      </c>
      <c r="O101">
        <v>3.23944091796875</v>
      </c>
      <c r="P101">
        <v>288048.97387674602</v>
      </c>
      <c r="Q101">
        <v>2.82989501953125</v>
      </c>
      <c r="R101">
        <v>324054.559605841</v>
      </c>
      <c r="S101">
        <v>3.248291015625</v>
      </c>
      <c r="T101">
        <v>360058.018914941</v>
      </c>
      <c r="U101">
        <v>2.8277587890625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1"/>
  <sheetViews>
    <sheetView tabSelected="1" topLeftCell="A52" zoomScale="42" zoomScaleNormal="74" workbookViewId="0">
      <selection activeCell="Y115" sqref="Y115"/>
    </sheetView>
  </sheetViews>
  <sheetFormatPr baseColWidth="10" defaultColWidth="9.140625" defaultRowHeight="12.75" x14ac:dyDescent="0.2"/>
  <cols>
    <col min="1" max="14" width="11.5703125" bestFit="1" customWidth="1"/>
    <col min="15" max="15" width="14.140625" bestFit="1" customWidth="1"/>
    <col min="16" max="26" width="11.5703125" bestFit="1" customWidth="1"/>
    <col min="27" max="28" width="14.140625" bestFit="1" customWidth="1"/>
    <col min="29" max="29" width="11.5703125" bestFit="1" customWidth="1"/>
    <col min="30" max="30" width="11.42578125" bestFit="1" customWidth="1"/>
    <col min="31" max="31" width="14.140625" bestFit="1" customWidth="1"/>
    <col min="32" max="1025" width="11.28515625"/>
  </cols>
  <sheetData>
    <row r="1" spans="1:42" x14ac:dyDescent="0.2">
      <c r="B1" s="1" t="s">
        <v>0</v>
      </c>
      <c r="C1" s="1" t="s">
        <v>1</v>
      </c>
      <c r="D1" s="3" t="s">
        <v>20</v>
      </c>
      <c r="E1" s="3" t="s">
        <v>21</v>
      </c>
      <c r="F1" s="3" t="s">
        <v>2</v>
      </c>
      <c r="G1" s="3" t="s">
        <v>22</v>
      </c>
      <c r="H1" s="3" t="s">
        <v>21</v>
      </c>
      <c r="I1" s="3" t="s">
        <v>3</v>
      </c>
      <c r="J1" s="3" t="s">
        <v>4</v>
      </c>
      <c r="K1" s="3" t="s">
        <v>23</v>
      </c>
      <c r="L1" s="3" t="s">
        <v>21</v>
      </c>
      <c r="M1" s="3" t="s">
        <v>5</v>
      </c>
      <c r="N1" s="3" t="s">
        <v>6</v>
      </c>
      <c r="O1" s="3" t="s">
        <v>24</v>
      </c>
      <c r="P1" s="3" t="s">
        <v>21</v>
      </c>
      <c r="Q1" s="3" t="s">
        <v>7</v>
      </c>
      <c r="R1" s="3" t="s">
        <v>8</v>
      </c>
      <c r="S1" s="3" t="s">
        <v>25</v>
      </c>
      <c r="T1" s="3" t="s">
        <v>21</v>
      </c>
      <c r="U1" s="3" t="s">
        <v>9</v>
      </c>
      <c r="V1" s="3" t="s">
        <v>10</v>
      </c>
      <c r="W1" s="3"/>
      <c r="X1" s="3" t="s">
        <v>21</v>
      </c>
      <c r="Y1" s="3" t="s">
        <v>11</v>
      </c>
      <c r="Z1" s="3" t="s">
        <v>12</v>
      </c>
      <c r="AA1" s="3"/>
      <c r="AB1" s="3" t="s">
        <v>21</v>
      </c>
      <c r="AC1" s="3" t="s">
        <v>13</v>
      </c>
      <c r="AD1" s="3" t="s">
        <v>14</v>
      </c>
      <c r="AE1" s="3"/>
      <c r="AF1" s="3" t="s">
        <v>21</v>
      </c>
      <c r="AG1" s="3" t="s">
        <v>15</v>
      </c>
      <c r="AH1" s="3" t="s">
        <v>16</v>
      </c>
      <c r="AI1" s="3"/>
      <c r="AJ1" s="3" t="s">
        <v>21</v>
      </c>
      <c r="AK1" s="3" t="s">
        <v>17</v>
      </c>
      <c r="AL1" s="3" t="s">
        <v>18</v>
      </c>
      <c r="AM1" s="3"/>
      <c r="AN1" s="3" t="s">
        <v>21</v>
      </c>
      <c r="AO1" s="3" t="s">
        <v>19</v>
      </c>
      <c r="AP1" s="3" t="s">
        <v>1</v>
      </c>
    </row>
    <row r="2" spans="1:42" x14ac:dyDescent="0.2">
      <c r="A2" s="3">
        <v>0</v>
      </c>
      <c r="B2">
        <v>20.2664669488321</v>
      </c>
      <c r="C2">
        <v>3.04962158203125</v>
      </c>
      <c r="D2">
        <f t="shared" ref="D2:D33" si="0">B2/3600</f>
        <v>5.6295741524533616E-3</v>
      </c>
      <c r="E2">
        <f t="shared" ref="E2:E33" si="1">D2/$D$101</f>
        <v>5.6265629447417164E-4</v>
      </c>
      <c r="F2">
        <v>36023.961866048201</v>
      </c>
      <c r="G2">
        <f t="shared" ref="G2:G33" si="2">(F2:F101/3600)-10.0066560739</f>
        <v>2.2772894681111211E-12</v>
      </c>
      <c r="H2">
        <f t="shared" ref="H2:H33" si="3">1-(G2/$G$101)</f>
        <v>0.99999999999977229</v>
      </c>
      <c r="I2">
        <v>3.20648193359375</v>
      </c>
      <c r="J2">
        <v>72028.995598144305</v>
      </c>
      <c r="K2">
        <f t="shared" ref="K2:K33" si="4">(J2:J101/3600)-20.0080543328</f>
        <v>1.7863044377008919E-11</v>
      </c>
      <c r="L2">
        <f t="shared" ref="L2:L33" si="5">(K2/$K$101)</f>
        <v>1.7863540631538635E-12</v>
      </c>
      <c r="M2">
        <v>2.89794921875</v>
      </c>
      <c r="N2">
        <v>108032.376905244</v>
      </c>
      <c r="O2">
        <f t="shared" ref="O2:O33" si="6">(N2:N101/3600)-30.0089935848</f>
        <v>-9.9973362921446096E-12</v>
      </c>
      <c r="P2">
        <f t="shared" ref="P2:P33" si="7">1-(O2/$O$101)</f>
        <v>1.0000000000009999</v>
      </c>
      <c r="Q2">
        <v>3.2061767578125</v>
      </c>
      <c r="R2">
        <v>144037.75662433999</v>
      </c>
      <c r="S2">
        <f t="shared" ref="S2:S33" si="8">(R1:R101/3600)-40.0104879512</f>
        <v>5.5564441936439835E-12</v>
      </c>
      <c r="U2">
        <v>2.9010009765625</v>
      </c>
      <c r="V2">
        <v>180041.14793244001</v>
      </c>
      <c r="W2">
        <f t="shared" ref="W2:W33" si="9">(V2:V101/3600)-50.0114299812</f>
        <v>3.33315597345063E-11</v>
      </c>
      <c r="X2">
        <f t="shared" ref="X2:X33" si="10">1-(W2/$W$101)</f>
        <v>0.99999999999666678</v>
      </c>
      <c r="Y2">
        <v>3.20709228515625</v>
      </c>
      <c r="Z2">
        <v>216046.54665853499</v>
      </c>
      <c r="AA2">
        <f t="shared" ref="AA2:AA33" si="11">(Z2:Z101/3600)-60.0129296274</f>
        <v>-2.9167779302952113E-11</v>
      </c>
      <c r="AB2">
        <f t="shared" ref="AB2:AB33" si="12">AA2/$AA$101</f>
        <v>-2.9168589615279391E-12</v>
      </c>
      <c r="AC2">
        <v>2.904052734375</v>
      </c>
      <c r="AD2">
        <v>252049.97396763499</v>
      </c>
      <c r="AE2">
        <f t="shared" ref="AE2:AE33" si="13">(AD2:AD101/3600)-70.0138816577</f>
        <v>-2.361844053666573E-11</v>
      </c>
      <c r="AF2">
        <f t="shared" ref="AF2:AF33" si="14">1-(AE2/$AE$101)</f>
        <v>1.0000000000023619</v>
      </c>
      <c r="AG2">
        <v>3.21014404296875</v>
      </c>
      <c r="AH2">
        <v>288055.55969672999</v>
      </c>
      <c r="AI2">
        <f t="shared" ref="AI2:AI33" si="15">(AH2:AH101/3600)-80.0154332491</f>
        <v>-8.3275608631083742E-12</v>
      </c>
      <c r="AJ2">
        <f t="shared" ref="AJ2:AJ33" si="16">AI2/$AI$101</f>
        <v>-8.3277922117018827E-13</v>
      </c>
      <c r="AK2">
        <v>2.90679931640625</v>
      </c>
      <c r="AL2">
        <v>324059.01900582999</v>
      </c>
      <c r="AM2">
        <f t="shared" ref="AM2:AM33" si="17">(AL2:AL101/3600)-90.0163941683</f>
        <v>-1.3884005056752358E-11</v>
      </c>
      <c r="AN2">
        <f t="shared" ref="AN2:AN33" si="18">1-(AM2/$AM$101)</f>
        <v>1.0000000000013884</v>
      </c>
      <c r="AO2">
        <v>3.21624755859375</v>
      </c>
      <c r="AP2">
        <v>4.04962158203125</v>
      </c>
    </row>
    <row r="3" spans="1:42" x14ac:dyDescent="0.2">
      <c r="A3" s="3">
        <v>1</v>
      </c>
      <c r="B3">
        <v>383.89272865702702</v>
      </c>
      <c r="C3">
        <v>3.1451416015625</v>
      </c>
      <c r="D3">
        <f t="shared" si="0"/>
        <v>0.1066368690713964</v>
      </c>
      <c r="E3">
        <f t="shared" si="1"/>
        <v>1.06579829985704E-2</v>
      </c>
      <c r="F3">
        <v>36387.588127756397</v>
      </c>
      <c r="G3">
        <f t="shared" si="2"/>
        <v>0.10100729492122085</v>
      </c>
      <c r="H3">
        <f t="shared" si="3"/>
        <v>0.98989898989876446</v>
      </c>
      <c r="I3">
        <v>3.14178466796875</v>
      </c>
      <c r="J3">
        <v>72392.621859852501</v>
      </c>
      <c r="K3">
        <f t="shared" si="4"/>
        <v>0.1010072949368066</v>
      </c>
      <c r="L3">
        <f t="shared" si="5"/>
        <v>1.0101010102778354E-2</v>
      </c>
      <c r="M3">
        <v>2.9701988143150202</v>
      </c>
      <c r="N3">
        <v>108396.003166952</v>
      </c>
      <c r="O3">
        <f t="shared" si="6"/>
        <v>0.10100729490888938</v>
      </c>
      <c r="P3">
        <f t="shared" si="7"/>
        <v>0.98989898989998537</v>
      </c>
      <c r="Q3">
        <v>3.14178466796875</v>
      </c>
      <c r="R3">
        <v>144401.382886048</v>
      </c>
      <c r="S3">
        <f t="shared" si="8"/>
        <v>0.10100729492444316</v>
      </c>
      <c r="T3">
        <f t="shared" ref="T3:T34" si="19">S3/$S$101</f>
        <v>1.01010101015546E-2</v>
      </c>
      <c r="U3">
        <v>2.9752727470012101</v>
      </c>
      <c r="V3">
        <v>180404.77419414799</v>
      </c>
      <c r="W3">
        <f t="shared" si="9"/>
        <v>0.10100729495221827</v>
      </c>
      <c r="X3">
        <f t="shared" si="10"/>
        <v>0.98989898989569591</v>
      </c>
      <c r="Y3">
        <v>3.1415935477824601</v>
      </c>
      <c r="Z3">
        <v>216410.172920243</v>
      </c>
      <c r="AA3">
        <f t="shared" si="11"/>
        <v>0.10100729488972604</v>
      </c>
      <c r="AB3">
        <f t="shared" si="12"/>
        <v>1.0101010098117869E-2</v>
      </c>
      <c r="AC3">
        <v>2.9822917899699601</v>
      </c>
      <c r="AD3">
        <v>252413.60022934299</v>
      </c>
      <c r="AE3">
        <f t="shared" si="13"/>
        <v>0.10100729489528248</v>
      </c>
      <c r="AF3">
        <f t="shared" si="14"/>
        <v>0.98989898990133207</v>
      </c>
      <c r="AG3">
        <v>3.14300537109375</v>
      </c>
      <c r="AH3">
        <v>288419.18595843803</v>
      </c>
      <c r="AI3">
        <f t="shared" si="15"/>
        <v>0.10100729491055915</v>
      </c>
      <c r="AJ3">
        <f t="shared" si="16"/>
        <v>1.0101010100180193E-2</v>
      </c>
      <c r="AK3">
        <v>2.98736572265625</v>
      </c>
      <c r="AL3">
        <v>324422.64526753803</v>
      </c>
      <c r="AM3">
        <f t="shared" si="17"/>
        <v>0.10100729490501692</v>
      </c>
      <c r="AN3">
        <f t="shared" si="18"/>
        <v>0.9898989899003684</v>
      </c>
      <c r="AO3">
        <v>3.14605712890625</v>
      </c>
      <c r="AP3">
        <v>4.1451416015625</v>
      </c>
    </row>
    <row r="4" spans="1:42" x14ac:dyDescent="0.2">
      <c r="A4" s="3">
        <v>2</v>
      </c>
      <c r="B4">
        <v>747.51899036522104</v>
      </c>
      <c r="C4">
        <v>3.15406876380997</v>
      </c>
      <c r="D4">
        <f t="shared" si="0"/>
        <v>0.20764416399033919</v>
      </c>
      <c r="E4">
        <f t="shared" si="1"/>
        <v>2.0753309702666603E-2</v>
      </c>
      <c r="F4">
        <v>36751.2143894646</v>
      </c>
      <c r="G4">
        <f t="shared" si="2"/>
        <v>0.20201458984016618</v>
      </c>
      <c r="H4">
        <f t="shared" si="3"/>
        <v>0.9797979797977564</v>
      </c>
      <c r="I4">
        <v>3.11332625572128</v>
      </c>
      <c r="J4">
        <v>72756.248121560697</v>
      </c>
      <c r="K4">
        <f t="shared" si="4"/>
        <v>0.20201458985575016</v>
      </c>
      <c r="L4">
        <f t="shared" si="5"/>
        <v>2.0202020203770352E-2</v>
      </c>
      <c r="M4">
        <v>3.00201416015625</v>
      </c>
      <c r="N4">
        <v>108759.62942866</v>
      </c>
      <c r="O4">
        <f t="shared" si="6"/>
        <v>0.20201458982777964</v>
      </c>
      <c r="P4">
        <f t="shared" si="7"/>
        <v>0.97979797979897065</v>
      </c>
      <c r="Q4">
        <v>3.11370849609375</v>
      </c>
      <c r="R4">
        <v>144765.00914775601</v>
      </c>
      <c r="S4">
        <f t="shared" si="8"/>
        <v>0.20201458984333698</v>
      </c>
      <c r="T4">
        <f t="shared" si="19"/>
        <v>2.0202020202554252E-2</v>
      </c>
      <c r="U4">
        <v>3.0065147322836698</v>
      </c>
      <c r="V4">
        <v>180768.400455856</v>
      </c>
      <c r="W4">
        <f t="shared" si="9"/>
        <v>0.20201458987110499</v>
      </c>
      <c r="X4">
        <f t="shared" si="10"/>
        <v>0.97979797979472494</v>
      </c>
      <c r="Y4">
        <v>3.1134033203125</v>
      </c>
      <c r="Z4">
        <v>216773.79918195101</v>
      </c>
      <c r="AA4">
        <f t="shared" si="11"/>
        <v>0.20201458980861275</v>
      </c>
      <c r="AB4">
        <f t="shared" si="12"/>
        <v>2.0202020199151884E-2</v>
      </c>
      <c r="AC4">
        <v>3.0136077572596598</v>
      </c>
      <c r="AD4">
        <v>252777.226491051</v>
      </c>
      <c r="AE4">
        <f t="shared" si="13"/>
        <v>0.2020145898141692</v>
      </c>
      <c r="AF4">
        <f t="shared" si="14"/>
        <v>0.9797979798003037</v>
      </c>
      <c r="AG4">
        <v>3.11370849609375</v>
      </c>
      <c r="AH4">
        <v>288782.81222014601</v>
      </c>
      <c r="AI4">
        <f t="shared" si="15"/>
        <v>0.20201458982944587</v>
      </c>
      <c r="AJ4">
        <f t="shared" si="16"/>
        <v>2.0202020201193164E-2</v>
      </c>
      <c r="AK4">
        <v>3.0181884765625</v>
      </c>
      <c r="AL4">
        <v>324786.27152924601</v>
      </c>
      <c r="AM4">
        <f t="shared" si="17"/>
        <v>0.20201458982388942</v>
      </c>
      <c r="AN4">
        <f t="shared" si="18"/>
        <v>0.97979797979935124</v>
      </c>
      <c r="AO4">
        <v>3.11492919921875</v>
      </c>
      <c r="AP4">
        <v>4.1540687638099696</v>
      </c>
    </row>
    <row r="5" spans="1:42" x14ac:dyDescent="0.2">
      <c r="A5" s="3">
        <v>3</v>
      </c>
      <c r="B5">
        <v>1111.1452520734199</v>
      </c>
      <c r="C5">
        <v>3.15643310546875</v>
      </c>
      <c r="D5">
        <f t="shared" si="0"/>
        <v>0.3086514589092833</v>
      </c>
      <c r="E5">
        <f t="shared" si="1"/>
        <v>3.0848636406762941E-2</v>
      </c>
      <c r="F5">
        <v>37114.840651172803</v>
      </c>
      <c r="G5">
        <f t="shared" si="2"/>
        <v>0.30302188475911151</v>
      </c>
      <c r="H5">
        <f t="shared" si="3"/>
        <v>0.96969696969674835</v>
      </c>
      <c r="I5">
        <v>3.0914306640625</v>
      </c>
      <c r="J5">
        <v>73119.874383268907</v>
      </c>
      <c r="K5">
        <f t="shared" si="4"/>
        <v>0.30302188477469727</v>
      </c>
      <c r="L5">
        <f t="shared" si="5"/>
        <v>3.030303030476271E-2</v>
      </c>
      <c r="M5">
        <v>3.0282222863399699</v>
      </c>
      <c r="N5">
        <v>109123.255690369</v>
      </c>
      <c r="O5">
        <f t="shared" si="6"/>
        <v>0.30302188474694347</v>
      </c>
      <c r="P5">
        <f t="shared" si="7"/>
        <v>0.96969696969792851</v>
      </c>
      <c r="Q5">
        <v>3.0926513671875</v>
      </c>
      <c r="R5">
        <v>145128.635409465</v>
      </c>
      <c r="S5">
        <f t="shared" si="8"/>
        <v>0.3030218847625008</v>
      </c>
      <c r="T5">
        <f t="shared" si="19"/>
        <v>3.0303030303580902E-2</v>
      </c>
      <c r="U5">
        <v>3.0323375355109801</v>
      </c>
      <c r="V5">
        <v>181132.02671756499</v>
      </c>
      <c r="W5">
        <f t="shared" si="9"/>
        <v>0.30302188479027592</v>
      </c>
      <c r="X5">
        <f t="shared" si="10"/>
        <v>0.96969696969372565</v>
      </c>
      <c r="Y5">
        <v>3.092041015625</v>
      </c>
      <c r="Z5">
        <v>217137.42544366</v>
      </c>
      <c r="AA5">
        <f t="shared" si="11"/>
        <v>0.30302188472777658</v>
      </c>
      <c r="AB5">
        <f t="shared" si="12"/>
        <v>3.0303030300213613E-2</v>
      </c>
      <c r="AC5">
        <v>3.0388664476801801</v>
      </c>
      <c r="AD5">
        <v>253140.85275275999</v>
      </c>
      <c r="AE5">
        <f t="shared" si="13"/>
        <v>0.30302188473334013</v>
      </c>
      <c r="AF5">
        <f t="shared" si="14"/>
        <v>0.9696969696992469</v>
      </c>
      <c r="AG5">
        <v>3.092041015625</v>
      </c>
      <c r="AH5">
        <v>289146.43848185497</v>
      </c>
      <c r="AI5">
        <f t="shared" si="15"/>
        <v>0.30302188474860259</v>
      </c>
      <c r="AJ5">
        <f t="shared" si="16"/>
        <v>3.0303030302233139E-2</v>
      </c>
      <c r="AK5">
        <v>3.0431389086176601</v>
      </c>
      <c r="AL5">
        <v>325149.89779095497</v>
      </c>
      <c r="AM5">
        <f t="shared" si="17"/>
        <v>0.30302188474304614</v>
      </c>
      <c r="AN5">
        <f t="shared" si="18"/>
        <v>0.96969696969830566</v>
      </c>
      <c r="AO5">
        <v>3.09234619140625</v>
      </c>
      <c r="AP5">
        <v>4.15643310546875</v>
      </c>
    </row>
    <row r="6" spans="1:42" x14ac:dyDescent="0.2">
      <c r="A6" s="3">
        <v>4</v>
      </c>
      <c r="B6">
        <v>1474.7715137816101</v>
      </c>
      <c r="C6">
        <v>3.1570403744475999</v>
      </c>
      <c r="D6">
        <f t="shared" si="0"/>
        <v>0.40965875382822503</v>
      </c>
      <c r="E6">
        <f t="shared" si="1"/>
        <v>4.0943963110859037E-2</v>
      </c>
      <c r="F6">
        <v>37478.466912880998</v>
      </c>
      <c r="G6">
        <f t="shared" si="2"/>
        <v>0.40402917967805507</v>
      </c>
      <c r="H6">
        <f t="shared" si="3"/>
        <v>0.95959595959574051</v>
      </c>
      <c r="I6">
        <v>3.0731201171875</v>
      </c>
      <c r="J6">
        <v>73483.500644977103</v>
      </c>
      <c r="K6">
        <f t="shared" si="4"/>
        <v>0.40402917969364083</v>
      </c>
      <c r="L6">
        <f t="shared" si="5"/>
        <v>4.040404040575471E-2</v>
      </c>
      <c r="M6">
        <v>3.0511474609375</v>
      </c>
      <c r="N6">
        <v>109486.881952077</v>
      </c>
      <c r="O6">
        <f t="shared" si="6"/>
        <v>0.40402917966583729</v>
      </c>
      <c r="P6">
        <f t="shared" si="7"/>
        <v>0.95959595959691346</v>
      </c>
      <c r="Q6">
        <v>3.07464599609375</v>
      </c>
      <c r="R6">
        <v>145492.26167117301</v>
      </c>
      <c r="S6">
        <f t="shared" si="8"/>
        <v>0.40402917968139462</v>
      </c>
      <c r="T6">
        <f t="shared" si="19"/>
        <v>4.0404040404580552E-2</v>
      </c>
      <c r="U6">
        <v>3.0546554411299902</v>
      </c>
      <c r="V6">
        <v>181495.652979273</v>
      </c>
      <c r="W6">
        <f t="shared" si="9"/>
        <v>0.40402917970916263</v>
      </c>
      <c r="X6">
        <f t="shared" si="10"/>
        <v>0.95959595959275479</v>
      </c>
      <c r="Y6">
        <v>3.07403564453125</v>
      </c>
      <c r="Z6">
        <v>217501.05170536801</v>
      </c>
      <c r="AA6">
        <f t="shared" si="11"/>
        <v>0.4040291796466704</v>
      </c>
      <c r="AB6">
        <f t="shared" si="12"/>
        <v>4.0404040401248335E-2</v>
      </c>
      <c r="AC6">
        <v>3.06060791015625</v>
      </c>
      <c r="AD6">
        <v>253504.479014468</v>
      </c>
      <c r="AE6">
        <f t="shared" si="13"/>
        <v>0.40402917965222684</v>
      </c>
      <c r="AF6">
        <f t="shared" si="14"/>
        <v>0.95959595959821853</v>
      </c>
      <c r="AG6">
        <v>3.07403564453125</v>
      </c>
      <c r="AH6">
        <v>289510.06474356301</v>
      </c>
      <c r="AI6">
        <f t="shared" si="15"/>
        <v>0.40402917966750351</v>
      </c>
      <c r="AJ6">
        <f t="shared" si="16"/>
        <v>4.0404040403247528E-2</v>
      </c>
      <c r="AK6">
        <v>3.06396484375</v>
      </c>
      <c r="AL6">
        <v>325513.52405266301</v>
      </c>
      <c r="AM6">
        <f t="shared" si="17"/>
        <v>0.40402917966194707</v>
      </c>
      <c r="AN6">
        <f t="shared" si="18"/>
        <v>0.95959595959728572</v>
      </c>
      <c r="AO6">
        <v>3.07388151534873</v>
      </c>
      <c r="AP6">
        <v>4.1570403744476003</v>
      </c>
    </row>
    <row r="7" spans="1:42" x14ac:dyDescent="0.2">
      <c r="A7" s="3">
        <v>5</v>
      </c>
      <c r="B7">
        <v>1838.3977754898101</v>
      </c>
      <c r="C7">
        <v>3.15769388218119</v>
      </c>
      <c r="D7">
        <f t="shared" si="0"/>
        <v>0.51066604874716948</v>
      </c>
      <c r="E7">
        <f t="shared" si="1"/>
        <v>5.1039289814955403E-2</v>
      </c>
      <c r="F7">
        <v>37842.093174589201</v>
      </c>
      <c r="G7">
        <f t="shared" si="2"/>
        <v>0.50503647459700041</v>
      </c>
      <c r="H7">
        <f t="shared" si="3"/>
        <v>0.94949494949473245</v>
      </c>
      <c r="I7">
        <v>3.0572509765625</v>
      </c>
      <c r="J7">
        <v>73847.126906685298</v>
      </c>
      <c r="K7">
        <f t="shared" si="4"/>
        <v>0.50503647461258083</v>
      </c>
      <c r="L7">
        <f t="shared" si="5"/>
        <v>5.0505050506746349E-2</v>
      </c>
      <c r="M7">
        <v>3.07098388671875</v>
      </c>
      <c r="N7">
        <v>109850.508213785</v>
      </c>
      <c r="O7">
        <f t="shared" si="6"/>
        <v>0.505036474584724</v>
      </c>
      <c r="P7">
        <f t="shared" si="7"/>
        <v>0.94949494949589908</v>
      </c>
      <c r="Q7">
        <v>3.05938720703125</v>
      </c>
      <c r="R7">
        <v>145855.88793288101</v>
      </c>
      <c r="S7">
        <f t="shared" si="8"/>
        <v>0.50503647460028134</v>
      </c>
      <c r="T7">
        <f t="shared" si="19"/>
        <v>5.0505050505579491E-2</v>
      </c>
      <c r="U7">
        <v>3.0739955709437998</v>
      </c>
      <c r="V7">
        <v>181859.27924098101</v>
      </c>
      <c r="W7">
        <f t="shared" si="9"/>
        <v>0.50503647462805645</v>
      </c>
      <c r="X7">
        <f t="shared" si="10"/>
        <v>0.94949494949178326</v>
      </c>
      <c r="Y7">
        <v>3.05908203125</v>
      </c>
      <c r="Z7">
        <v>217864.67796707599</v>
      </c>
      <c r="AA7">
        <f t="shared" si="11"/>
        <v>0.50503647456555001</v>
      </c>
      <c r="AB7">
        <f t="shared" si="12"/>
        <v>5.0505050502281643E-2</v>
      </c>
      <c r="AC7">
        <v>3.0794486614188501</v>
      </c>
      <c r="AD7">
        <v>253868.10527617601</v>
      </c>
      <c r="AE7">
        <f t="shared" si="13"/>
        <v>0.50503647457111356</v>
      </c>
      <c r="AF7">
        <f t="shared" si="14"/>
        <v>0.94949494949719015</v>
      </c>
      <c r="AG7">
        <v>3.05877685546875</v>
      </c>
      <c r="AH7">
        <v>289873.69100527099</v>
      </c>
      <c r="AI7">
        <f t="shared" si="15"/>
        <v>0.50503647458639023</v>
      </c>
      <c r="AJ7">
        <f t="shared" si="16"/>
        <v>5.0505050504260504E-2</v>
      </c>
      <c r="AK7">
        <v>3.08258056640625</v>
      </c>
      <c r="AL7">
        <v>325877.15031437099</v>
      </c>
      <c r="AM7">
        <f t="shared" si="17"/>
        <v>0.50503647458083378</v>
      </c>
      <c r="AN7">
        <f t="shared" si="18"/>
        <v>0.94949494949626712</v>
      </c>
      <c r="AO7">
        <v>3.0584716796875</v>
      </c>
      <c r="AP7">
        <v>4.1576938821811904</v>
      </c>
    </row>
    <row r="8" spans="1:42" x14ac:dyDescent="0.2">
      <c r="A8" s="3">
        <v>6</v>
      </c>
      <c r="B8">
        <v>2202.0240371979999</v>
      </c>
      <c r="C8">
        <v>3.1586433179450801</v>
      </c>
      <c r="D8">
        <f t="shared" si="0"/>
        <v>0.61167334366611104</v>
      </c>
      <c r="E8">
        <f t="shared" si="1"/>
        <v>6.1134616519051485E-2</v>
      </c>
      <c r="F8">
        <v>38205.719436297397</v>
      </c>
      <c r="G8">
        <f t="shared" si="2"/>
        <v>0.60604376951594396</v>
      </c>
      <c r="H8">
        <f t="shared" si="3"/>
        <v>0.93939393939372462</v>
      </c>
      <c r="I8">
        <v>3.04351806640625</v>
      </c>
      <c r="J8">
        <v>74210.753168393494</v>
      </c>
      <c r="K8">
        <f t="shared" si="4"/>
        <v>0.60604376953152439</v>
      </c>
      <c r="L8">
        <f t="shared" si="5"/>
        <v>6.0606060607738349E-2</v>
      </c>
      <c r="M8">
        <v>3.0879997484612001</v>
      </c>
      <c r="N8">
        <v>110214.134475493</v>
      </c>
      <c r="O8">
        <f t="shared" si="6"/>
        <v>0.60604376950361427</v>
      </c>
      <c r="P8">
        <f t="shared" si="7"/>
        <v>0.93939393939488436</v>
      </c>
      <c r="Q8">
        <v>3.0462646484375</v>
      </c>
      <c r="R8">
        <v>146219.51419458899</v>
      </c>
      <c r="S8">
        <f t="shared" si="8"/>
        <v>0.60604376951916805</v>
      </c>
      <c r="T8">
        <f t="shared" si="19"/>
        <v>6.0606060606578437E-2</v>
      </c>
      <c r="U8">
        <v>3.0904411547112001</v>
      </c>
      <c r="V8">
        <v>182222.90550268901</v>
      </c>
      <c r="W8">
        <f t="shared" si="9"/>
        <v>0.60604376954694317</v>
      </c>
      <c r="X8">
        <f t="shared" si="10"/>
        <v>0.93939393939081228</v>
      </c>
      <c r="Y8">
        <v>3.04595947265625</v>
      </c>
      <c r="Z8">
        <v>218228.30422878399</v>
      </c>
      <c r="AA8">
        <f t="shared" si="11"/>
        <v>0.60604376948444383</v>
      </c>
      <c r="AB8">
        <f t="shared" si="12"/>
        <v>6.0606060603316372E-2</v>
      </c>
      <c r="AC8">
        <v>3.09478759765625</v>
      </c>
      <c r="AD8">
        <v>254231.73153788401</v>
      </c>
      <c r="AE8">
        <f t="shared" si="13"/>
        <v>0.60604376949000027</v>
      </c>
      <c r="AF8">
        <f t="shared" si="14"/>
        <v>0.93939393939616178</v>
      </c>
      <c r="AG8">
        <v>3.04595947265625</v>
      </c>
      <c r="AH8">
        <v>290237.31726697902</v>
      </c>
      <c r="AI8">
        <f t="shared" si="15"/>
        <v>0.60604376950529115</v>
      </c>
      <c r="AJ8">
        <f t="shared" si="16"/>
        <v>6.0606060605274896E-2</v>
      </c>
      <c r="AK8">
        <v>3.0976913914536501</v>
      </c>
      <c r="AL8">
        <v>326240.77657607902</v>
      </c>
      <c r="AM8">
        <f t="shared" si="17"/>
        <v>0.60604376949973471</v>
      </c>
      <c r="AN8">
        <f t="shared" si="18"/>
        <v>0.93939393939524707</v>
      </c>
      <c r="AO8">
        <v>3.0454231031012999</v>
      </c>
      <c r="AP8">
        <v>4.1586433179450797</v>
      </c>
    </row>
    <row r="9" spans="1:42" x14ac:dyDescent="0.2">
      <c r="A9" s="3">
        <v>7</v>
      </c>
      <c r="B9">
        <v>2565.6502989061901</v>
      </c>
      <c r="C9">
        <v>3.15899164989741</v>
      </c>
      <c r="D9">
        <f t="shared" si="0"/>
        <v>0.71268063858505282</v>
      </c>
      <c r="E9">
        <f t="shared" si="1"/>
        <v>7.1229943223147588E-2</v>
      </c>
      <c r="F9">
        <v>38569.3456980056</v>
      </c>
      <c r="G9">
        <f t="shared" si="2"/>
        <v>0.7070510644348893</v>
      </c>
      <c r="H9">
        <f t="shared" si="3"/>
        <v>0.92929292929271656</v>
      </c>
      <c r="I9">
        <v>3.03149907275884</v>
      </c>
      <c r="J9">
        <v>74574.379430101704</v>
      </c>
      <c r="K9">
        <f t="shared" si="4"/>
        <v>0.7070510644504715</v>
      </c>
      <c r="L9">
        <f t="shared" si="5"/>
        <v>7.070707070873071E-2</v>
      </c>
      <c r="M9">
        <v>3.10187754004889</v>
      </c>
      <c r="N9">
        <v>110577.760737201</v>
      </c>
      <c r="O9">
        <f t="shared" si="6"/>
        <v>0.70705106442250099</v>
      </c>
      <c r="P9">
        <f t="shared" si="7"/>
        <v>0.92929292929386997</v>
      </c>
      <c r="Q9">
        <v>3.03497314453125</v>
      </c>
      <c r="R9">
        <v>146583.140456297</v>
      </c>
      <c r="S9">
        <f t="shared" si="8"/>
        <v>0.70705106443805477</v>
      </c>
      <c r="T9">
        <f t="shared" si="19"/>
        <v>7.0707070707577369E-2</v>
      </c>
      <c r="U9">
        <v>3.1043651850537399</v>
      </c>
      <c r="V9">
        <v>182586.53176439699</v>
      </c>
      <c r="W9">
        <f t="shared" si="9"/>
        <v>0.70705106446582988</v>
      </c>
      <c r="X9">
        <f t="shared" si="10"/>
        <v>0.92929292928984142</v>
      </c>
      <c r="Y9">
        <v>3.0348560063524999</v>
      </c>
      <c r="Z9">
        <v>218591.930490492</v>
      </c>
      <c r="AA9">
        <f t="shared" si="11"/>
        <v>0.70705106440333765</v>
      </c>
      <c r="AB9">
        <f t="shared" si="12"/>
        <v>7.0707070704351102E-2</v>
      </c>
      <c r="AC9">
        <v>3.10821533203125</v>
      </c>
      <c r="AD9">
        <v>254595.35779959199</v>
      </c>
      <c r="AE9">
        <f t="shared" si="13"/>
        <v>0.70705106440888699</v>
      </c>
      <c r="AF9">
        <f t="shared" si="14"/>
        <v>0.9292929292951333</v>
      </c>
      <c r="AG9">
        <v>3.03497314453125</v>
      </c>
      <c r="AH9">
        <v>290600.943528687</v>
      </c>
      <c r="AI9">
        <f t="shared" si="15"/>
        <v>0.70705106442416366</v>
      </c>
      <c r="AJ9">
        <f t="shared" si="16"/>
        <v>7.0707070706286443E-2</v>
      </c>
      <c r="AK9">
        <v>3.1105858388574998</v>
      </c>
      <c r="AL9">
        <v>326604.402837787</v>
      </c>
      <c r="AM9">
        <f t="shared" si="17"/>
        <v>0.70705106441862142</v>
      </c>
      <c r="AN9">
        <f t="shared" si="18"/>
        <v>0.92929292929422846</v>
      </c>
      <c r="AO9">
        <v>3.03436279296875</v>
      </c>
      <c r="AP9">
        <v>4.15899164989741</v>
      </c>
    </row>
    <row r="10" spans="1:42" x14ac:dyDescent="0.2">
      <c r="A10" s="3">
        <v>8</v>
      </c>
      <c r="B10">
        <v>2929.2765606143898</v>
      </c>
      <c r="C10">
        <v>3.1594941110321999</v>
      </c>
      <c r="D10">
        <f t="shared" si="0"/>
        <v>0.81368793350399715</v>
      </c>
      <c r="E10">
        <f t="shared" si="1"/>
        <v>8.1325269927243954E-2</v>
      </c>
      <c r="F10">
        <v>38932.971959713803</v>
      </c>
      <c r="G10">
        <f t="shared" si="2"/>
        <v>0.80805835935383463</v>
      </c>
      <c r="H10">
        <f t="shared" si="3"/>
        <v>0.91919191919170862</v>
      </c>
      <c r="I10">
        <v>3.02093505859375</v>
      </c>
      <c r="J10">
        <v>74938.0056918099</v>
      </c>
      <c r="K10">
        <f t="shared" si="4"/>
        <v>0.80805835936941506</v>
      </c>
      <c r="L10">
        <f t="shared" si="5"/>
        <v>8.080808080972271E-2</v>
      </c>
      <c r="M10">
        <v>3.11279296875</v>
      </c>
      <c r="N10">
        <v>110941.38699891001</v>
      </c>
      <c r="O10">
        <f t="shared" si="6"/>
        <v>0.80805835934166836</v>
      </c>
      <c r="P10">
        <f t="shared" si="7"/>
        <v>0.9191919191928275</v>
      </c>
      <c r="Q10">
        <v>3.02490234375</v>
      </c>
      <c r="R10">
        <v>146946.76671800599</v>
      </c>
      <c r="S10">
        <f t="shared" si="8"/>
        <v>0.8080583593572257</v>
      </c>
      <c r="T10">
        <f t="shared" si="19"/>
        <v>8.0808080808604743E-2</v>
      </c>
      <c r="U10">
        <v>3.1152405401675698</v>
      </c>
      <c r="V10">
        <v>182950.15802610599</v>
      </c>
      <c r="W10">
        <f t="shared" si="9"/>
        <v>0.80805835938499371</v>
      </c>
      <c r="X10">
        <f t="shared" si="10"/>
        <v>0.9191919191888428</v>
      </c>
      <c r="Y10">
        <v>3.02520751953125</v>
      </c>
      <c r="Z10">
        <v>218955.556752201</v>
      </c>
      <c r="AA10">
        <f t="shared" si="11"/>
        <v>0.80805835932250147</v>
      </c>
      <c r="AB10">
        <f t="shared" si="12"/>
        <v>8.0808080805412824E-2</v>
      </c>
      <c r="AC10">
        <v>3.1186005563451098</v>
      </c>
      <c r="AD10">
        <v>254958.98406130099</v>
      </c>
      <c r="AE10">
        <f t="shared" si="13"/>
        <v>0.80805835932805792</v>
      </c>
      <c r="AF10">
        <f t="shared" si="14"/>
        <v>0.9191919191940765</v>
      </c>
      <c r="AG10">
        <v>3.02520751953125</v>
      </c>
      <c r="AH10">
        <v>290964.56979039602</v>
      </c>
      <c r="AI10">
        <f t="shared" si="15"/>
        <v>0.80805835934333459</v>
      </c>
      <c r="AJ10">
        <f t="shared" si="16"/>
        <v>8.0808080807327848E-2</v>
      </c>
      <c r="AK10">
        <v>3.1210388800112998</v>
      </c>
      <c r="AL10">
        <v>326968.02909949602</v>
      </c>
      <c r="AM10">
        <f t="shared" si="17"/>
        <v>0.80805835933779235</v>
      </c>
      <c r="AN10">
        <f t="shared" si="18"/>
        <v>0.91919191919318144</v>
      </c>
      <c r="AO10">
        <v>3.02459716796875</v>
      </c>
      <c r="AP10">
        <v>4.1594941110321999</v>
      </c>
    </row>
    <row r="11" spans="1:42" x14ac:dyDescent="0.2">
      <c r="A11" s="3">
        <v>9</v>
      </c>
      <c r="B11">
        <v>3292.9028223225801</v>
      </c>
      <c r="C11">
        <v>3.1607887961647698</v>
      </c>
      <c r="D11">
        <f t="shared" si="0"/>
        <v>0.91469522842293893</v>
      </c>
      <c r="E11">
        <f t="shared" si="1"/>
        <v>9.1420596631340056E-2</v>
      </c>
      <c r="F11">
        <v>39296.598221421998</v>
      </c>
      <c r="G11">
        <f t="shared" si="2"/>
        <v>0.90906565427277641</v>
      </c>
      <c r="H11">
        <f t="shared" si="3"/>
        <v>0.90909090909070089</v>
      </c>
      <c r="I11">
        <v>3.0120849609375</v>
      </c>
      <c r="J11">
        <v>75301.631953518096</v>
      </c>
      <c r="K11">
        <f t="shared" si="4"/>
        <v>0.90906565428835862</v>
      </c>
      <c r="L11">
        <f t="shared" si="5"/>
        <v>9.090909091071471E-2</v>
      </c>
      <c r="M11">
        <v>3.1219482421875</v>
      </c>
      <c r="N11">
        <v>111305.013260618</v>
      </c>
      <c r="O11">
        <f t="shared" si="6"/>
        <v>0.90906565426055508</v>
      </c>
      <c r="P11">
        <f t="shared" si="7"/>
        <v>0.90909090909181323</v>
      </c>
      <c r="Q11">
        <v>3.016357421875</v>
      </c>
      <c r="R11">
        <v>147310.392979714</v>
      </c>
      <c r="S11">
        <f t="shared" si="8"/>
        <v>0.90906565427611241</v>
      </c>
      <c r="T11">
        <f t="shared" si="19"/>
        <v>9.0909090909603682E-2</v>
      </c>
      <c r="U11">
        <v>3.1242786754262202</v>
      </c>
      <c r="V11">
        <v>183313.78428781399</v>
      </c>
      <c r="W11">
        <f t="shared" si="9"/>
        <v>0.90906565430388753</v>
      </c>
      <c r="X11">
        <f t="shared" si="10"/>
        <v>0.90909090908787127</v>
      </c>
      <c r="Y11">
        <v>3.01666259765625</v>
      </c>
      <c r="Z11">
        <v>219319.183013909</v>
      </c>
      <c r="AA11">
        <f t="shared" si="11"/>
        <v>0.90906565424138819</v>
      </c>
      <c r="AB11">
        <f t="shared" si="12"/>
        <v>9.0909090906446846E-2</v>
      </c>
      <c r="AC11">
        <v>3.12835693359375</v>
      </c>
      <c r="AD11">
        <v>255322.61032300899</v>
      </c>
      <c r="AE11">
        <f t="shared" si="13"/>
        <v>0.90906565424694463</v>
      </c>
      <c r="AF11">
        <f t="shared" si="14"/>
        <v>0.90909090909304813</v>
      </c>
      <c r="AG11">
        <v>3.0169677734375</v>
      </c>
      <c r="AH11">
        <v>291328.196052104</v>
      </c>
      <c r="AI11">
        <f t="shared" si="15"/>
        <v>0.9090656542622213</v>
      </c>
      <c r="AJ11">
        <f t="shared" si="16"/>
        <v>9.0909090908340817E-2</v>
      </c>
      <c r="AK11">
        <v>3.1298828125</v>
      </c>
      <c r="AL11">
        <v>327331.655361204</v>
      </c>
      <c r="AM11">
        <f t="shared" si="17"/>
        <v>0.90906565425666486</v>
      </c>
      <c r="AN11">
        <f t="shared" si="18"/>
        <v>0.90909090909216439</v>
      </c>
      <c r="AO11">
        <v>3.016357421875</v>
      </c>
      <c r="AP11">
        <v>4.1607887961647698</v>
      </c>
    </row>
    <row r="12" spans="1:42" x14ac:dyDescent="0.2">
      <c r="A12" s="3">
        <v>10</v>
      </c>
      <c r="B12">
        <v>3656.5290840307798</v>
      </c>
      <c r="C12">
        <v>3.1611710365372501</v>
      </c>
      <c r="D12">
        <f t="shared" si="0"/>
        <v>1.0157025233418833</v>
      </c>
      <c r="E12">
        <f t="shared" si="1"/>
        <v>0.10151592333543641</v>
      </c>
      <c r="F12">
        <v>39660.224483130201</v>
      </c>
      <c r="G12">
        <f t="shared" si="2"/>
        <v>1.0100729491917217</v>
      </c>
      <c r="H12">
        <f t="shared" si="3"/>
        <v>0.89898989898969284</v>
      </c>
      <c r="I12">
        <v>3.0043754192313799</v>
      </c>
      <c r="J12">
        <v>75665.258215226306</v>
      </c>
      <c r="K12">
        <f t="shared" si="4"/>
        <v>1.0100729492073057</v>
      </c>
      <c r="L12">
        <f t="shared" si="5"/>
        <v>0.10101010101170706</v>
      </c>
      <c r="M12">
        <v>3.1293526081124101</v>
      </c>
      <c r="N12">
        <v>111668.639522326</v>
      </c>
      <c r="O12">
        <f t="shared" si="6"/>
        <v>1.0100729491794453</v>
      </c>
      <c r="P12">
        <f t="shared" si="7"/>
        <v>0.89898989899079851</v>
      </c>
      <c r="Q12">
        <v>3.009033203125</v>
      </c>
      <c r="R12">
        <v>147674.01924142201</v>
      </c>
      <c r="S12">
        <f t="shared" si="8"/>
        <v>1.0100729491950062</v>
      </c>
      <c r="T12">
        <f t="shared" si="19"/>
        <v>0.10101010101060333</v>
      </c>
      <c r="U12">
        <v>3.1317292801058398</v>
      </c>
      <c r="V12">
        <v>183677.410549522</v>
      </c>
      <c r="W12">
        <f t="shared" si="9"/>
        <v>1.0100729492227742</v>
      </c>
      <c r="X12">
        <f t="shared" si="10"/>
        <v>0.8989898989869004</v>
      </c>
      <c r="Y12">
        <v>3.00933837890625</v>
      </c>
      <c r="Z12">
        <v>219682.80927561701</v>
      </c>
      <c r="AA12">
        <f t="shared" si="11"/>
        <v>1.010072949160282</v>
      </c>
      <c r="AB12">
        <f t="shared" si="12"/>
        <v>0.10101010100748156</v>
      </c>
      <c r="AC12">
        <v>3.13584144669354</v>
      </c>
      <c r="AD12">
        <v>255686.236584717</v>
      </c>
      <c r="AE12">
        <f t="shared" si="13"/>
        <v>1.0100729491658313</v>
      </c>
      <c r="AF12">
        <f t="shared" si="14"/>
        <v>0.89898989899201975</v>
      </c>
      <c r="AG12">
        <v>3.00994873046875</v>
      </c>
      <c r="AH12">
        <v>291691.82231381198</v>
      </c>
      <c r="AI12">
        <f t="shared" si="15"/>
        <v>1.010072949181108</v>
      </c>
      <c r="AJ12">
        <f t="shared" si="16"/>
        <v>0.10101010100935379</v>
      </c>
      <c r="AK12">
        <v>3.1375923542061499</v>
      </c>
      <c r="AL12">
        <v>327695.28162291198</v>
      </c>
      <c r="AM12">
        <f t="shared" si="17"/>
        <v>1.0100729491755516</v>
      </c>
      <c r="AN12">
        <f t="shared" si="18"/>
        <v>0.89898989899114579</v>
      </c>
      <c r="AO12">
        <v>3.00933837890625</v>
      </c>
      <c r="AP12">
        <v>4.1611710365372501</v>
      </c>
    </row>
    <row r="13" spans="1:42" x14ac:dyDescent="0.2">
      <c r="A13" s="3">
        <v>11</v>
      </c>
      <c r="B13">
        <v>4020.15534573897</v>
      </c>
      <c r="C13">
        <v>3.16192626953125</v>
      </c>
      <c r="D13">
        <f t="shared" si="0"/>
        <v>1.116709818260825</v>
      </c>
      <c r="E13">
        <f t="shared" si="1"/>
        <v>0.11161125003953251</v>
      </c>
      <c r="F13">
        <v>40023.850744838302</v>
      </c>
      <c r="G13">
        <f t="shared" si="2"/>
        <v>1.1110802441106387</v>
      </c>
      <c r="H13">
        <f t="shared" si="3"/>
        <v>0.88888888888868767</v>
      </c>
      <c r="I13">
        <v>2.9974365234375</v>
      </c>
      <c r="J13">
        <v>76028.884476934501</v>
      </c>
      <c r="K13">
        <f t="shared" si="4"/>
        <v>1.1110802441262493</v>
      </c>
      <c r="L13">
        <f t="shared" si="5"/>
        <v>0.11111111111269906</v>
      </c>
      <c r="M13">
        <v>3.1353081597222898</v>
      </c>
      <c r="N13">
        <v>112032.265784034</v>
      </c>
      <c r="O13">
        <f t="shared" si="6"/>
        <v>1.1110802440983321</v>
      </c>
      <c r="P13">
        <f t="shared" si="7"/>
        <v>0.88888888888978412</v>
      </c>
      <c r="Q13">
        <v>3.00262451171875</v>
      </c>
      <c r="R13">
        <v>148037.64550313001</v>
      </c>
      <c r="S13">
        <f t="shared" si="8"/>
        <v>1.1110802441138929</v>
      </c>
      <c r="T13">
        <f t="shared" si="19"/>
        <v>0.11111111111160227</v>
      </c>
      <c r="U13">
        <v>3.138427734375</v>
      </c>
      <c r="V13">
        <v>184041.03681123001</v>
      </c>
      <c r="W13">
        <f t="shared" si="9"/>
        <v>1.1110802441416681</v>
      </c>
      <c r="X13">
        <f t="shared" si="10"/>
        <v>0.88888888888592876</v>
      </c>
      <c r="Y13">
        <v>3.0029296875</v>
      </c>
      <c r="Z13">
        <v>220046.43553732499</v>
      </c>
      <c r="AA13">
        <f t="shared" si="11"/>
        <v>1.1110802440791616</v>
      </c>
      <c r="AB13">
        <f t="shared" si="12"/>
        <v>0.11111111110851488</v>
      </c>
      <c r="AC13">
        <v>3.14208984375</v>
      </c>
      <c r="AD13">
        <v>256049.86284642501</v>
      </c>
      <c r="AE13">
        <f t="shared" si="13"/>
        <v>1.1110802440847323</v>
      </c>
      <c r="AF13">
        <f t="shared" si="14"/>
        <v>0.88888888889098994</v>
      </c>
      <c r="AG13">
        <v>3.0035400390625</v>
      </c>
      <c r="AH13">
        <v>292055.44857552001</v>
      </c>
      <c r="AI13">
        <f t="shared" si="15"/>
        <v>1.1110802441000089</v>
      </c>
      <c r="AJ13">
        <f t="shared" si="16"/>
        <v>0.11111111111036819</v>
      </c>
      <c r="AK13">
        <v>3.1439208984375</v>
      </c>
      <c r="AL13">
        <v>328058.90788462001</v>
      </c>
      <c r="AM13">
        <f t="shared" si="17"/>
        <v>1.1110802440944525</v>
      </c>
      <c r="AN13">
        <f t="shared" si="18"/>
        <v>0.88888888889012574</v>
      </c>
      <c r="AO13">
        <v>3.0029296875</v>
      </c>
      <c r="AP13">
        <v>4.16192626953125</v>
      </c>
    </row>
    <row r="14" spans="1:42" x14ac:dyDescent="0.2">
      <c r="A14" s="3">
        <v>12</v>
      </c>
      <c r="B14">
        <v>4383.7816074471702</v>
      </c>
      <c r="C14">
        <v>3.1614823774857999</v>
      </c>
      <c r="D14">
        <f t="shared" si="0"/>
        <v>1.2177171131797695</v>
      </c>
      <c r="E14">
        <f t="shared" si="1"/>
        <v>0.12170657674362888</v>
      </c>
      <c r="F14">
        <v>40387.477006546498</v>
      </c>
      <c r="G14">
        <f t="shared" si="2"/>
        <v>1.2120875390295822</v>
      </c>
      <c r="H14">
        <f t="shared" si="3"/>
        <v>0.87878787878767983</v>
      </c>
      <c r="I14">
        <v>2.99163818359375</v>
      </c>
      <c r="J14">
        <v>76392.510738642697</v>
      </c>
      <c r="K14">
        <f t="shared" si="4"/>
        <v>1.2120875390451928</v>
      </c>
      <c r="L14">
        <f t="shared" si="5"/>
        <v>0.12121212121369106</v>
      </c>
      <c r="M14">
        <v>3.1385849461411199</v>
      </c>
      <c r="N14">
        <v>112395.892045742</v>
      </c>
      <c r="O14">
        <f t="shared" si="6"/>
        <v>1.2120875390172223</v>
      </c>
      <c r="P14">
        <f t="shared" si="7"/>
        <v>0.87878787878876929</v>
      </c>
      <c r="Q14">
        <v>2.996826171875</v>
      </c>
      <c r="R14">
        <v>148401.27176483799</v>
      </c>
      <c r="S14">
        <f t="shared" si="8"/>
        <v>1.2120875390327797</v>
      </c>
      <c r="T14">
        <f t="shared" si="19"/>
        <v>0.12121212121260121</v>
      </c>
      <c r="U14">
        <v>3.1433197946260498</v>
      </c>
      <c r="V14">
        <v>184404.66307293801</v>
      </c>
      <c r="W14">
        <f t="shared" si="9"/>
        <v>1.2120875390605548</v>
      </c>
      <c r="X14">
        <f t="shared" si="10"/>
        <v>0.8787878787849579</v>
      </c>
      <c r="Y14">
        <v>2.9974365234375</v>
      </c>
      <c r="Z14">
        <v>220410.06179903299</v>
      </c>
      <c r="AA14">
        <f t="shared" si="11"/>
        <v>1.2120875389980554</v>
      </c>
      <c r="AB14">
        <f t="shared" si="12"/>
        <v>0.12121212120954961</v>
      </c>
      <c r="AC14">
        <v>3.1466582327177002</v>
      </c>
      <c r="AD14">
        <v>256413.48910813301</v>
      </c>
      <c r="AE14">
        <f t="shared" si="13"/>
        <v>1.212087539003619</v>
      </c>
      <c r="AF14">
        <f t="shared" si="14"/>
        <v>0.87878787878996156</v>
      </c>
      <c r="AG14">
        <v>2.998046875</v>
      </c>
      <c r="AH14">
        <v>292419.07483722799</v>
      </c>
      <c r="AI14">
        <f t="shared" si="15"/>
        <v>1.2120875390188814</v>
      </c>
      <c r="AJ14">
        <f t="shared" si="16"/>
        <v>0.12121212121137973</v>
      </c>
      <c r="AK14">
        <v>3.1480546431109402</v>
      </c>
      <c r="AL14">
        <v>328422.53414632799</v>
      </c>
      <c r="AM14">
        <f t="shared" si="17"/>
        <v>1.2120875390133392</v>
      </c>
      <c r="AN14">
        <f t="shared" si="18"/>
        <v>0.87878787878910714</v>
      </c>
      <c r="AO14">
        <v>2.9974365234375</v>
      </c>
      <c r="AP14">
        <v>4.1614823774858003</v>
      </c>
    </row>
    <row r="15" spans="1:42" x14ac:dyDescent="0.2">
      <c r="A15" s="3">
        <v>13</v>
      </c>
      <c r="B15">
        <v>4747.4078691553595</v>
      </c>
      <c r="C15">
        <v>3.1606192540640801</v>
      </c>
      <c r="D15">
        <f t="shared" si="0"/>
        <v>1.3187244080987111</v>
      </c>
      <c r="E15">
        <f t="shared" si="1"/>
        <v>0.13180190344772497</v>
      </c>
      <c r="F15">
        <v>40751.103268254701</v>
      </c>
      <c r="G15">
        <f t="shared" si="2"/>
        <v>1.3130948339485276</v>
      </c>
      <c r="H15">
        <f t="shared" si="3"/>
        <v>0.86868686868667178</v>
      </c>
      <c r="I15">
        <v>2.9864501953125</v>
      </c>
      <c r="J15">
        <v>76756.137000350893</v>
      </c>
      <c r="K15">
        <f t="shared" si="4"/>
        <v>1.3130948339641364</v>
      </c>
      <c r="L15">
        <f t="shared" si="5"/>
        <v>0.13131313131468306</v>
      </c>
      <c r="M15">
        <v>3.14235186336012</v>
      </c>
      <c r="N15">
        <v>112759.518307451</v>
      </c>
      <c r="O15">
        <f t="shared" si="6"/>
        <v>1.3130948339363897</v>
      </c>
      <c r="P15">
        <f t="shared" si="7"/>
        <v>0.86868686868772693</v>
      </c>
      <c r="Q15">
        <v>2.991943359375</v>
      </c>
      <c r="R15">
        <v>148764.89802654699</v>
      </c>
      <c r="S15">
        <f t="shared" si="8"/>
        <v>1.3130948339519435</v>
      </c>
      <c r="T15">
        <f t="shared" si="19"/>
        <v>0.13131313131362787</v>
      </c>
      <c r="U15">
        <v>3.14692950007881</v>
      </c>
      <c r="V15">
        <v>184768.28933464701</v>
      </c>
      <c r="W15">
        <f t="shared" si="9"/>
        <v>1.3130948339797186</v>
      </c>
      <c r="X15">
        <f t="shared" si="10"/>
        <v>0.86868686868395928</v>
      </c>
      <c r="Y15">
        <v>2.9925537109375</v>
      </c>
      <c r="Z15">
        <v>220773.68806074199</v>
      </c>
      <c r="AA15">
        <f t="shared" si="11"/>
        <v>1.3130948339172193</v>
      </c>
      <c r="AB15">
        <f t="shared" si="12"/>
        <v>0.13131313131061134</v>
      </c>
      <c r="AC15">
        <v>3.15006757023369</v>
      </c>
      <c r="AD15">
        <v>256777.11536984201</v>
      </c>
      <c r="AE15">
        <f t="shared" si="13"/>
        <v>1.3130948339227899</v>
      </c>
      <c r="AF15">
        <f t="shared" si="14"/>
        <v>0.86868686868890477</v>
      </c>
      <c r="AG15">
        <v>2.9931640625</v>
      </c>
      <c r="AH15">
        <v>292782.70109893702</v>
      </c>
      <c r="AI15">
        <f t="shared" si="15"/>
        <v>1.3130948339380666</v>
      </c>
      <c r="AJ15">
        <f t="shared" si="16"/>
        <v>0.13131313131242253</v>
      </c>
      <c r="AK15">
        <v>3.15155029296875</v>
      </c>
      <c r="AL15">
        <v>328786.16040803702</v>
      </c>
      <c r="AM15">
        <f t="shared" si="17"/>
        <v>1.3130948339325101</v>
      </c>
      <c r="AN15">
        <f t="shared" si="18"/>
        <v>0.86868686868806011</v>
      </c>
      <c r="AO15">
        <v>2.9925537109375</v>
      </c>
      <c r="AP15">
        <v>4.1606192540640796</v>
      </c>
    </row>
    <row r="16" spans="1:42" x14ac:dyDescent="0.2">
      <c r="A16" s="3">
        <v>14</v>
      </c>
      <c r="B16">
        <v>5111.0341308635598</v>
      </c>
      <c r="C16">
        <v>3.15986093848643</v>
      </c>
      <c r="D16">
        <f t="shared" si="0"/>
        <v>1.4197317030176555</v>
      </c>
      <c r="E16">
        <f t="shared" si="1"/>
        <v>0.14189723015182132</v>
      </c>
      <c r="F16">
        <v>41114.729529962897</v>
      </c>
      <c r="G16">
        <f t="shared" si="2"/>
        <v>1.4141021288674711</v>
      </c>
      <c r="H16">
        <f t="shared" si="3"/>
        <v>0.85858585858566394</v>
      </c>
      <c r="I16">
        <v>2.98187255859375</v>
      </c>
      <c r="J16">
        <v>77119.763262059103</v>
      </c>
      <c r="K16">
        <f t="shared" si="4"/>
        <v>1.4141021288830835</v>
      </c>
      <c r="L16">
        <f t="shared" si="5"/>
        <v>0.1414141414156754</v>
      </c>
      <c r="M16">
        <v>3.14490732520514</v>
      </c>
      <c r="N16">
        <v>113123.14456915901</v>
      </c>
      <c r="O16">
        <f t="shared" si="6"/>
        <v>1.41410212885528</v>
      </c>
      <c r="P16">
        <f t="shared" si="7"/>
        <v>0.85858585858671221</v>
      </c>
      <c r="Q16">
        <v>2.98736572265625</v>
      </c>
      <c r="R16">
        <v>149128.52428825499</v>
      </c>
      <c r="S16">
        <f t="shared" si="8"/>
        <v>1.4141021288708302</v>
      </c>
      <c r="T16">
        <f t="shared" si="19"/>
        <v>0.1414141414146268</v>
      </c>
      <c r="U16">
        <v>3.14925068556642</v>
      </c>
      <c r="V16">
        <v>185131.91559635499</v>
      </c>
      <c r="W16">
        <f t="shared" si="9"/>
        <v>1.4141021288986053</v>
      </c>
      <c r="X16">
        <f t="shared" si="10"/>
        <v>0.85858585858298841</v>
      </c>
      <c r="Y16">
        <v>2.9880469736425801</v>
      </c>
      <c r="Z16">
        <v>221137.31432244999</v>
      </c>
      <c r="AA16">
        <f t="shared" si="11"/>
        <v>1.4141021288361131</v>
      </c>
      <c r="AB16">
        <f t="shared" si="12"/>
        <v>0.14141414141164604</v>
      </c>
      <c r="AC16">
        <v>3.15323954880858</v>
      </c>
      <c r="AD16">
        <v>257140.74163154999</v>
      </c>
      <c r="AE16">
        <f t="shared" si="13"/>
        <v>1.4141021288416624</v>
      </c>
      <c r="AF16">
        <f t="shared" si="14"/>
        <v>0.85858585858787784</v>
      </c>
      <c r="AG16">
        <v>2.9888916015625</v>
      </c>
      <c r="AH16">
        <v>293146.32736064499</v>
      </c>
      <c r="AI16">
        <f t="shared" si="15"/>
        <v>1.4141021288569391</v>
      </c>
      <c r="AJ16">
        <f t="shared" si="16"/>
        <v>0.14141414141343409</v>
      </c>
      <c r="AK16">
        <v>3.1546729502050801</v>
      </c>
      <c r="AL16">
        <v>329149.78666974499</v>
      </c>
      <c r="AM16">
        <f t="shared" si="17"/>
        <v>1.4141021288513969</v>
      </c>
      <c r="AN16">
        <f t="shared" si="18"/>
        <v>0.85858585858704162</v>
      </c>
      <c r="AO16">
        <v>2.98828125</v>
      </c>
      <c r="AP16">
        <v>4.15986093848643</v>
      </c>
    </row>
    <row r="17" spans="1:42" x14ac:dyDescent="0.2">
      <c r="A17" s="3">
        <v>15</v>
      </c>
      <c r="B17">
        <v>5474.66039257175</v>
      </c>
      <c r="C17">
        <v>3.15948486328125</v>
      </c>
      <c r="D17">
        <f t="shared" si="0"/>
        <v>1.5207389979365973</v>
      </c>
      <c r="E17">
        <f t="shared" si="1"/>
        <v>0.15199255685591742</v>
      </c>
      <c r="F17">
        <v>41478.3557916711</v>
      </c>
      <c r="G17">
        <f t="shared" si="2"/>
        <v>1.5151094237864164</v>
      </c>
      <c r="H17">
        <f t="shared" si="3"/>
        <v>0.84848484848465588</v>
      </c>
      <c r="I17">
        <v>2.9779052734375</v>
      </c>
      <c r="J17">
        <v>77483.389523767299</v>
      </c>
      <c r="K17">
        <f t="shared" si="4"/>
        <v>1.5151094238020271</v>
      </c>
      <c r="L17">
        <f t="shared" si="5"/>
        <v>0.15151515151666742</v>
      </c>
      <c r="M17">
        <v>3.1473980527936001</v>
      </c>
      <c r="N17">
        <v>113486.770830867</v>
      </c>
      <c r="O17">
        <f t="shared" si="6"/>
        <v>1.5151094237741667</v>
      </c>
      <c r="P17">
        <f t="shared" si="7"/>
        <v>0.84848484848569783</v>
      </c>
      <c r="Q17">
        <v>2.9833984375</v>
      </c>
      <c r="R17">
        <v>149492.150549963</v>
      </c>
      <c r="S17">
        <f t="shared" si="8"/>
        <v>1.515109423789724</v>
      </c>
      <c r="T17">
        <f t="shared" si="19"/>
        <v>0.15151515151562645</v>
      </c>
      <c r="U17">
        <v>3.15185546875</v>
      </c>
      <c r="V17">
        <v>185495.54185806299</v>
      </c>
      <c r="W17">
        <f t="shared" si="9"/>
        <v>1.515109423817492</v>
      </c>
      <c r="X17">
        <f t="shared" si="10"/>
        <v>0.84848484848201755</v>
      </c>
      <c r="Y17">
        <v>2.98431396484375</v>
      </c>
      <c r="Z17">
        <v>221500.940584158</v>
      </c>
      <c r="AA17">
        <f t="shared" si="11"/>
        <v>1.5151094237549998</v>
      </c>
      <c r="AB17">
        <f t="shared" si="12"/>
        <v>0.15151515151268008</v>
      </c>
      <c r="AC17">
        <v>3.1550921815813999</v>
      </c>
      <c r="AD17">
        <v>257504.36789325799</v>
      </c>
      <c r="AE17">
        <f t="shared" si="13"/>
        <v>1.5151094237605633</v>
      </c>
      <c r="AF17">
        <f t="shared" si="14"/>
        <v>0.84848484848684791</v>
      </c>
      <c r="AG17">
        <v>2.98492431640625</v>
      </c>
      <c r="AH17">
        <v>293509.95362235297</v>
      </c>
      <c r="AI17">
        <f t="shared" si="15"/>
        <v>1.5151094237758258</v>
      </c>
      <c r="AJ17">
        <f t="shared" si="16"/>
        <v>0.15151515151444706</v>
      </c>
      <c r="AK17">
        <v>3.1569232362689101</v>
      </c>
      <c r="AL17">
        <v>329513.41293145297</v>
      </c>
      <c r="AM17">
        <f t="shared" si="17"/>
        <v>1.5151094237702694</v>
      </c>
      <c r="AN17">
        <f t="shared" si="18"/>
        <v>0.84848484848602435</v>
      </c>
      <c r="AO17">
        <v>2.98431396484375</v>
      </c>
      <c r="AP17">
        <v>4.15948486328125</v>
      </c>
    </row>
    <row r="18" spans="1:42" x14ac:dyDescent="0.2">
      <c r="A18" s="3">
        <v>16</v>
      </c>
      <c r="B18">
        <v>5838.2866542799502</v>
      </c>
      <c r="C18">
        <v>3.1591858526672998</v>
      </c>
      <c r="D18">
        <f t="shared" si="0"/>
        <v>1.6217462928555417</v>
      </c>
      <c r="E18">
        <f t="shared" si="1"/>
        <v>0.1620878835600138</v>
      </c>
      <c r="F18">
        <v>41841.982053379303</v>
      </c>
      <c r="G18">
        <f t="shared" si="2"/>
        <v>1.6161167187053618</v>
      </c>
      <c r="H18">
        <f t="shared" si="3"/>
        <v>0.83838383838364794</v>
      </c>
      <c r="I18">
        <v>2.9742431640625</v>
      </c>
      <c r="J18">
        <v>77847.015785475494</v>
      </c>
      <c r="K18">
        <f t="shared" si="4"/>
        <v>1.6161167187209706</v>
      </c>
      <c r="L18">
        <f t="shared" si="5"/>
        <v>0.1616161616176594</v>
      </c>
      <c r="M18">
        <v>3.1488037109375</v>
      </c>
      <c r="N18">
        <v>113850.397092575</v>
      </c>
      <c r="O18">
        <f t="shared" si="6"/>
        <v>1.616116718693057</v>
      </c>
      <c r="P18">
        <f t="shared" si="7"/>
        <v>0.83838383838468311</v>
      </c>
      <c r="Q18">
        <v>2.979736328125</v>
      </c>
      <c r="R18">
        <v>149855.77681167101</v>
      </c>
      <c r="S18">
        <f t="shared" si="8"/>
        <v>1.6161167187086178</v>
      </c>
      <c r="T18">
        <f t="shared" si="19"/>
        <v>0.16161616161662609</v>
      </c>
      <c r="U18">
        <v>3.1533751824889702</v>
      </c>
      <c r="V18">
        <v>185859.168119771</v>
      </c>
      <c r="W18">
        <f t="shared" si="9"/>
        <v>1.6161167187363858</v>
      </c>
      <c r="X18">
        <f t="shared" si="10"/>
        <v>0.83838383838104591</v>
      </c>
      <c r="Y18">
        <v>2.98065185546875</v>
      </c>
      <c r="Z18">
        <v>221864.56684586601</v>
      </c>
      <c r="AA18">
        <f t="shared" si="11"/>
        <v>1.6161167186738936</v>
      </c>
      <c r="AB18">
        <f t="shared" si="12"/>
        <v>0.16161616161371481</v>
      </c>
      <c r="AC18">
        <v>3.1558474145753501</v>
      </c>
      <c r="AD18">
        <v>257867.994154966</v>
      </c>
      <c r="AE18">
        <f t="shared" si="13"/>
        <v>1.6161167186794501</v>
      </c>
      <c r="AF18">
        <f t="shared" si="14"/>
        <v>0.83838383838581954</v>
      </c>
      <c r="AG18">
        <v>2.9815673828125</v>
      </c>
      <c r="AH18">
        <v>293873.57988406101</v>
      </c>
      <c r="AI18">
        <f t="shared" si="15"/>
        <v>1.6161167186947267</v>
      </c>
      <c r="AJ18">
        <f t="shared" si="16"/>
        <v>0.16161616161546147</v>
      </c>
      <c r="AK18">
        <v>3.1585755011047798</v>
      </c>
      <c r="AL18">
        <v>329877.03919316101</v>
      </c>
      <c r="AM18">
        <f t="shared" si="17"/>
        <v>1.6161167186891703</v>
      </c>
      <c r="AN18">
        <f t="shared" si="18"/>
        <v>0.83838383838500441</v>
      </c>
      <c r="AO18">
        <v>2.98095703125</v>
      </c>
      <c r="AP18">
        <v>4.1591858526673002</v>
      </c>
    </row>
    <row r="19" spans="1:42" x14ac:dyDescent="0.2">
      <c r="A19" s="3">
        <v>17</v>
      </c>
      <c r="B19">
        <v>6201.9129159881404</v>
      </c>
      <c r="C19">
        <v>3.15887451171875</v>
      </c>
      <c r="D19">
        <f t="shared" si="0"/>
        <v>1.7227535877744835</v>
      </c>
      <c r="E19">
        <f t="shared" si="1"/>
        <v>0.1721832102641099</v>
      </c>
      <c r="F19">
        <v>42205.608315087498</v>
      </c>
      <c r="G19">
        <f t="shared" si="2"/>
        <v>1.7171240136243053</v>
      </c>
      <c r="H19">
        <f t="shared" si="3"/>
        <v>0.82828282828263999</v>
      </c>
      <c r="I19">
        <v>2.97149658203125</v>
      </c>
      <c r="J19">
        <v>78210.642047183705</v>
      </c>
      <c r="K19">
        <f t="shared" si="4"/>
        <v>1.7171240136399177</v>
      </c>
      <c r="L19">
        <f t="shared" si="5"/>
        <v>0.17171717171865178</v>
      </c>
      <c r="M19">
        <v>3.1501323044901799</v>
      </c>
      <c r="N19">
        <v>114214.023354283</v>
      </c>
      <c r="O19">
        <f t="shared" si="6"/>
        <v>1.7171240136119437</v>
      </c>
      <c r="P19">
        <f t="shared" si="7"/>
        <v>0.82828282828366873</v>
      </c>
      <c r="Q19">
        <v>2.9766845703125</v>
      </c>
      <c r="R19">
        <v>150219.40307337901</v>
      </c>
      <c r="S19">
        <f t="shared" si="8"/>
        <v>1.7171240136275046</v>
      </c>
      <c r="T19">
        <f t="shared" si="19"/>
        <v>0.17171717171762504</v>
      </c>
      <c r="U19">
        <v>3.154296875</v>
      </c>
      <c r="V19">
        <v>186222.79438147901</v>
      </c>
      <c r="W19">
        <f t="shared" si="9"/>
        <v>1.7171240136552797</v>
      </c>
      <c r="X19">
        <f t="shared" si="10"/>
        <v>0.82828282828007427</v>
      </c>
      <c r="Y19">
        <v>2.97760009765625</v>
      </c>
      <c r="Z19">
        <v>222228.19310757401</v>
      </c>
      <c r="AA19">
        <f t="shared" si="11"/>
        <v>1.7171240135927803</v>
      </c>
      <c r="AB19">
        <f t="shared" si="12"/>
        <v>0.17171717171474882</v>
      </c>
      <c r="AC19">
        <v>3.1580483793008698</v>
      </c>
      <c r="AD19">
        <v>258231.62041667401</v>
      </c>
      <c r="AE19">
        <f t="shared" si="13"/>
        <v>1.7171240135983368</v>
      </c>
      <c r="AF19">
        <f t="shared" si="14"/>
        <v>0.82828282828479116</v>
      </c>
      <c r="AG19">
        <v>2.978515625</v>
      </c>
      <c r="AH19">
        <v>294237.20614576899</v>
      </c>
      <c r="AI19">
        <f t="shared" si="15"/>
        <v>1.7171240136136134</v>
      </c>
      <c r="AJ19">
        <f t="shared" si="16"/>
        <v>0.17171717171647444</v>
      </c>
      <c r="AK19">
        <v>3.1595927537089401</v>
      </c>
      <c r="AL19">
        <v>330240.66545486898</v>
      </c>
      <c r="AM19">
        <f t="shared" si="17"/>
        <v>1.717124013608057</v>
      </c>
      <c r="AN19">
        <f t="shared" si="18"/>
        <v>0.82828282828398581</v>
      </c>
      <c r="AO19">
        <v>2.9779052734375</v>
      </c>
      <c r="AP19">
        <v>4.15887451171875</v>
      </c>
    </row>
    <row r="20" spans="1:42" x14ac:dyDescent="0.2">
      <c r="A20" s="3">
        <v>18</v>
      </c>
      <c r="B20">
        <v>6565.5391776963397</v>
      </c>
      <c r="C20">
        <v>3.1586525656960198</v>
      </c>
      <c r="D20">
        <f t="shared" si="0"/>
        <v>1.8237608826934277</v>
      </c>
      <c r="E20">
        <f t="shared" si="1"/>
        <v>0.18227853696820626</v>
      </c>
      <c r="F20">
        <v>42569.234576795701</v>
      </c>
      <c r="G20">
        <f t="shared" si="2"/>
        <v>1.8181313085432507</v>
      </c>
      <c r="H20">
        <f t="shared" si="3"/>
        <v>0.81818181818163205</v>
      </c>
      <c r="I20">
        <v>2.96905517578125</v>
      </c>
      <c r="J20">
        <v>78574.2683088919</v>
      </c>
      <c r="K20">
        <f t="shared" si="4"/>
        <v>1.8181313085588613</v>
      </c>
      <c r="L20">
        <f t="shared" si="5"/>
        <v>0.18181818181964376</v>
      </c>
      <c r="M20">
        <v>3.1508567116476902</v>
      </c>
      <c r="N20">
        <v>114577.64961599201</v>
      </c>
      <c r="O20">
        <f t="shared" si="6"/>
        <v>1.8181313085311146</v>
      </c>
      <c r="P20">
        <f t="shared" si="7"/>
        <v>0.81818181818262592</v>
      </c>
      <c r="Q20">
        <v>2.9738547585228101</v>
      </c>
      <c r="R20">
        <v>150583.02933508699</v>
      </c>
      <c r="S20">
        <f t="shared" si="8"/>
        <v>1.8181313085463913</v>
      </c>
      <c r="T20">
        <f t="shared" si="19"/>
        <v>0.18181818181862397</v>
      </c>
      <c r="U20">
        <v>3.1556008078836002</v>
      </c>
      <c r="V20">
        <v>186586.42064318701</v>
      </c>
      <c r="W20">
        <f t="shared" si="9"/>
        <v>1.8181313085741664</v>
      </c>
      <c r="X20">
        <f t="shared" si="10"/>
        <v>0.8181818181791034</v>
      </c>
      <c r="Y20">
        <v>2.974853515625</v>
      </c>
      <c r="Z20">
        <v>222591.81936928199</v>
      </c>
      <c r="AA20">
        <f t="shared" si="11"/>
        <v>1.818131308511667</v>
      </c>
      <c r="AB20">
        <f t="shared" si="12"/>
        <v>0.18181818181578283</v>
      </c>
      <c r="AC20">
        <v>3.1590964577413998</v>
      </c>
      <c r="AD20">
        <v>258595.24667838201</v>
      </c>
      <c r="AE20">
        <f t="shared" si="13"/>
        <v>1.8181313085172235</v>
      </c>
      <c r="AF20">
        <f t="shared" si="14"/>
        <v>0.81818181818376279</v>
      </c>
      <c r="AG20">
        <v>2.97576904296875</v>
      </c>
      <c r="AH20">
        <v>294600.83240747702</v>
      </c>
      <c r="AI20">
        <f t="shared" si="15"/>
        <v>1.8181313085325002</v>
      </c>
      <c r="AJ20">
        <f t="shared" si="16"/>
        <v>0.18181818181748741</v>
      </c>
      <c r="AK20">
        <v>3.1597900390625</v>
      </c>
      <c r="AL20">
        <v>330604.29171657702</v>
      </c>
      <c r="AM20">
        <f t="shared" si="17"/>
        <v>1.8181313085269579</v>
      </c>
      <c r="AN20">
        <f t="shared" si="18"/>
        <v>0.81818181818296587</v>
      </c>
      <c r="AO20">
        <v>2.97515869140625</v>
      </c>
      <c r="AP20">
        <v>4.1586525656960198</v>
      </c>
    </row>
    <row r="21" spans="1:42" x14ac:dyDescent="0.2">
      <c r="A21" s="3">
        <v>19</v>
      </c>
      <c r="B21">
        <v>6929.1654394045299</v>
      </c>
      <c r="C21">
        <v>3.1585385101010099</v>
      </c>
      <c r="D21">
        <f t="shared" si="0"/>
        <v>1.9247681776123695</v>
      </c>
      <c r="E21">
        <f t="shared" si="1"/>
        <v>0.19237386367230236</v>
      </c>
      <c r="F21">
        <v>42932.860838503897</v>
      </c>
      <c r="G21">
        <f t="shared" si="2"/>
        <v>1.9191386034621924</v>
      </c>
      <c r="H21">
        <f t="shared" si="3"/>
        <v>0.80808080808062432</v>
      </c>
      <c r="I21">
        <v>2.9669189453125</v>
      </c>
      <c r="J21">
        <v>78937.894570600096</v>
      </c>
      <c r="K21">
        <f t="shared" si="4"/>
        <v>1.9191386034778048</v>
      </c>
      <c r="L21">
        <f t="shared" si="5"/>
        <v>0.19191919192063578</v>
      </c>
      <c r="M21">
        <v>3.1523733428031502</v>
      </c>
      <c r="N21">
        <v>114941.2758777</v>
      </c>
      <c r="O21">
        <f t="shared" si="6"/>
        <v>1.9191386034500013</v>
      </c>
      <c r="P21">
        <f t="shared" si="7"/>
        <v>0.80808080808161153</v>
      </c>
      <c r="Q21">
        <v>2.97119140625</v>
      </c>
      <c r="R21">
        <v>150946.65559679599</v>
      </c>
      <c r="S21">
        <f t="shared" si="8"/>
        <v>1.9191386034655551</v>
      </c>
      <c r="T21">
        <f t="shared" si="19"/>
        <v>0.19191919191965062</v>
      </c>
      <c r="U21">
        <v>3.1558844055790201</v>
      </c>
      <c r="V21">
        <v>186950.04690489601</v>
      </c>
      <c r="W21">
        <f t="shared" si="9"/>
        <v>1.9191386034933302</v>
      </c>
      <c r="X21">
        <f t="shared" si="10"/>
        <v>0.80808080807810478</v>
      </c>
      <c r="Y21">
        <v>2.97210693359375</v>
      </c>
      <c r="Z21">
        <v>222955.44563099099</v>
      </c>
      <c r="AA21">
        <f t="shared" si="11"/>
        <v>1.9191386034308309</v>
      </c>
      <c r="AB21">
        <f t="shared" si="12"/>
        <v>0.19191919191684456</v>
      </c>
      <c r="AC21">
        <v>3.1598208648988901</v>
      </c>
      <c r="AD21">
        <v>258958.87294009101</v>
      </c>
      <c r="AE21">
        <f t="shared" si="13"/>
        <v>1.9191386034363944</v>
      </c>
      <c r="AF21">
        <f t="shared" si="14"/>
        <v>0.80808080808270599</v>
      </c>
      <c r="AG21">
        <v>2.97332763671875</v>
      </c>
      <c r="AH21">
        <v>294964.45866918599</v>
      </c>
      <c r="AI21">
        <f t="shared" si="15"/>
        <v>1.9191386034516711</v>
      </c>
      <c r="AJ21">
        <f t="shared" si="16"/>
        <v>0.1919191919185288</v>
      </c>
      <c r="AK21">
        <v>3.1610107421875</v>
      </c>
      <c r="AL21">
        <v>330967.91797828599</v>
      </c>
      <c r="AM21">
        <f t="shared" si="17"/>
        <v>1.9191386034461146</v>
      </c>
      <c r="AN21">
        <f t="shared" si="18"/>
        <v>0.80808080808192018</v>
      </c>
      <c r="AO21">
        <v>2.972412109375</v>
      </c>
      <c r="AP21">
        <v>4.1585385101010104</v>
      </c>
    </row>
    <row r="22" spans="1:42" x14ac:dyDescent="0.2">
      <c r="A22" s="3">
        <v>20</v>
      </c>
      <c r="B22">
        <v>7292.7917011127302</v>
      </c>
      <c r="C22">
        <v>3.15887451171875</v>
      </c>
      <c r="D22">
        <f t="shared" si="0"/>
        <v>2.025775472531314</v>
      </c>
      <c r="E22">
        <f t="shared" si="1"/>
        <v>0.20246919037639874</v>
      </c>
      <c r="F22">
        <v>43296.4871002121</v>
      </c>
      <c r="G22">
        <f t="shared" si="2"/>
        <v>2.0201458983811378</v>
      </c>
      <c r="H22">
        <f t="shared" si="3"/>
        <v>0.79797979797961638</v>
      </c>
      <c r="I22">
        <v>2.965087890625</v>
      </c>
      <c r="J22">
        <v>79301.520832308306</v>
      </c>
      <c r="K22">
        <f t="shared" si="4"/>
        <v>2.020145898396752</v>
      </c>
      <c r="L22">
        <f t="shared" si="5"/>
        <v>0.20202020202162813</v>
      </c>
      <c r="M22">
        <v>3.15277099609375</v>
      </c>
      <c r="N22">
        <v>115304.902139408</v>
      </c>
      <c r="O22">
        <f t="shared" si="6"/>
        <v>2.0201458983688916</v>
      </c>
      <c r="P22">
        <f t="shared" si="7"/>
        <v>0.79797979798059682</v>
      </c>
      <c r="Q22">
        <v>2.96905517578125</v>
      </c>
      <c r="R22">
        <v>151310.28185850399</v>
      </c>
      <c r="S22">
        <f t="shared" si="8"/>
        <v>2.0201458983844418</v>
      </c>
      <c r="T22">
        <f t="shared" si="19"/>
        <v>0.20202020202064958</v>
      </c>
      <c r="U22">
        <v>3.15688316268146</v>
      </c>
      <c r="V22">
        <v>187313.67316660401</v>
      </c>
      <c r="W22">
        <f t="shared" si="9"/>
        <v>2.020145898412224</v>
      </c>
      <c r="X22">
        <f t="shared" si="10"/>
        <v>0.79797979797713325</v>
      </c>
      <c r="Y22">
        <v>2.969970703125</v>
      </c>
      <c r="Z22">
        <v>223319.07189269899</v>
      </c>
      <c r="AA22">
        <f t="shared" si="11"/>
        <v>2.0201458983497247</v>
      </c>
      <c r="AB22">
        <f t="shared" si="12"/>
        <v>0.20202020201787929</v>
      </c>
      <c r="AC22">
        <v>3.16024009627521</v>
      </c>
      <c r="AD22">
        <v>259322.49920179899</v>
      </c>
      <c r="AE22">
        <f t="shared" si="13"/>
        <v>2.0201458983552811</v>
      </c>
      <c r="AF22">
        <f t="shared" si="14"/>
        <v>0.79797979798167762</v>
      </c>
      <c r="AG22">
        <v>2.97119140625</v>
      </c>
      <c r="AH22">
        <v>295328.08493089402</v>
      </c>
      <c r="AI22">
        <f t="shared" si="15"/>
        <v>2.0201458983705578</v>
      </c>
      <c r="AJ22">
        <f t="shared" si="16"/>
        <v>0.20202020201954177</v>
      </c>
      <c r="AK22">
        <v>3.1614607994002002</v>
      </c>
      <c r="AL22">
        <v>331331.54423999402</v>
      </c>
      <c r="AM22">
        <f t="shared" si="17"/>
        <v>2.0201458983650156</v>
      </c>
      <c r="AN22">
        <f t="shared" si="18"/>
        <v>0.79797979798090024</v>
      </c>
      <c r="AO22">
        <v>2.97027587890625</v>
      </c>
      <c r="AP22">
        <v>4.15887451171875</v>
      </c>
    </row>
    <row r="23" spans="1:42" x14ac:dyDescent="0.2">
      <c r="A23" s="3">
        <v>21</v>
      </c>
      <c r="B23">
        <v>7656.4179628209204</v>
      </c>
      <c r="C23">
        <v>3.1587357954545499</v>
      </c>
      <c r="D23">
        <f t="shared" si="0"/>
        <v>2.1267827674502557</v>
      </c>
      <c r="E23">
        <f t="shared" si="1"/>
        <v>0.21256451708049484</v>
      </c>
      <c r="F23">
        <v>43660.113361920303</v>
      </c>
      <c r="G23">
        <f t="shared" si="2"/>
        <v>2.1211531933000831</v>
      </c>
      <c r="H23">
        <f t="shared" si="3"/>
        <v>0.78787878787860832</v>
      </c>
      <c r="I23">
        <v>2.9638671875</v>
      </c>
      <c r="J23">
        <v>79665.147094016502</v>
      </c>
      <c r="K23">
        <f t="shared" si="4"/>
        <v>2.1211531933156955</v>
      </c>
      <c r="L23">
        <f t="shared" si="5"/>
        <v>0.21212121212262011</v>
      </c>
      <c r="M23">
        <v>3.1531224106297802</v>
      </c>
      <c r="N23">
        <v>115668.528401116</v>
      </c>
      <c r="O23">
        <f t="shared" si="6"/>
        <v>2.1211531932877783</v>
      </c>
      <c r="P23">
        <f t="shared" si="7"/>
        <v>0.78787878787958243</v>
      </c>
      <c r="Q23">
        <v>2.96722412109375</v>
      </c>
      <c r="R23">
        <v>151673.908120212</v>
      </c>
      <c r="S23">
        <f t="shared" si="8"/>
        <v>2.1211531933033356</v>
      </c>
      <c r="T23">
        <f t="shared" si="19"/>
        <v>0.21212121212164922</v>
      </c>
      <c r="U23">
        <v>3.1574411103219502</v>
      </c>
      <c r="V23">
        <v>187677.29942831199</v>
      </c>
      <c r="W23">
        <f t="shared" si="9"/>
        <v>2.1211531933311036</v>
      </c>
      <c r="X23">
        <f t="shared" si="10"/>
        <v>0.78787878787616306</v>
      </c>
      <c r="Y23">
        <v>2.9681396484375</v>
      </c>
      <c r="Z23">
        <v>223682.698154407</v>
      </c>
      <c r="AA23">
        <f t="shared" si="11"/>
        <v>2.1211531932686114</v>
      </c>
      <c r="AB23">
        <f t="shared" si="12"/>
        <v>0.2121212121189133</v>
      </c>
      <c r="AC23">
        <v>3.16070556640625</v>
      </c>
      <c r="AD23">
        <v>259686.12546350699</v>
      </c>
      <c r="AE23">
        <f t="shared" si="13"/>
        <v>2.1211531932741678</v>
      </c>
      <c r="AF23">
        <f t="shared" si="14"/>
        <v>0.78787878788064925</v>
      </c>
      <c r="AG23">
        <v>2.96905517578125</v>
      </c>
      <c r="AH23">
        <v>295691.711192602</v>
      </c>
      <c r="AI23">
        <f t="shared" si="15"/>
        <v>2.1211531932894445</v>
      </c>
      <c r="AJ23">
        <f t="shared" si="16"/>
        <v>0.21212121212055474</v>
      </c>
      <c r="AK23">
        <v>3.16192626953125</v>
      </c>
      <c r="AL23">
        <v>331695.170501702</v>
      </c>
      <c r="AM23">
        <f t="shared" si="17"/>
        <v>2.1211531932838881</v>
      </c>
      <c r="AN23">
        <f t="shared" si="18"/>
        <v>0.78787878787988308</v>
      </c>
      <c r="AO23">
        <v>2.9681396484375</v>
      </c>
      <c r="AP23">
        <v>4.1587357954545503</v>
      </c>
    </row>
    <row r="24" spans="1:42" x14ac:dyDescent="0.2">
      <c r="A24" s="3">
        <v>22</v>
      </c>
      <c r="B24">
        <v>8020.0442245291097</v>
      </c>
      <c r="C24">
        <v>3.157958984375</v>
      </c>
      <c r="D24">
        <f t="shared" si="0"/>
        <v>2.2277900623691971</v>
      </c>
      <c r="E24">
        <f t="shared" si="1"/>
        <v>0.22265984378459089</v>
      </c>
      <c r="F24">
        <v>44023.739623628499</v>
      </c>
      <c r="G24">
        <f t="shared" si="2"/>
        <v>2.2221604882190267</v>
      </c>
      <c r="H24">
        <f t="shared" si="3"/>
        <v>0.77777777777760049</v>
      </c>
      <c r="I24">
        <v>2.96295166015625</v>
      </c>
      <c r="J24">
        <v>80028.773355724697</v>
      </c>
      <c r="K24">
        <f t="shared" si="4"/>
        <v>2.2221604882346391</v>
      </c>
      <c r="L24">
        <f t="shared" si="5"/>
        <v>0.22222222222361213</v>
      </c>
      <c r="M24">
        <v>3.1537543402777302</v>
      </c>
      <c r="N24">
        <v>116032.154662824</v>
      </c>
      <c r="O24">
        <f t="shared" si="6"/>
        <v>2.2221604882066721</v>
      </c>
      <c r="P24">
        <f t="shared" si="7"/>
        <v>0.77777777777856727</v>
      </c>
      <c r="Q24">
        <v>2.9656982421875</v>
      </c>
      <c r="R24">
        <v>152037.53438192001</v>
      </c>
      <c r="S24">
        <f t="shared" si="8"/>
        <v>2.2221604882222223</v>
      </c>
      <c r="T24">
        <f t="shared" si="19"/>
        <v>0.22222222222264817</v>
      </c>
      <c r="U24">
        <v>3.1581963433159701</v>
      </c>
      <c r="V24">
        <v>188040.92569002</v>
      </c>
      <c r="W24">
        <f t="shared" si="9"/>
        <v>2.2221604882499975</v>
      </c>
      <c r="X24">
        <f t="shared" si="10"/>
        <v>0.77777777777519153</v>
      </c>
      <c r="Y24">
        <v>2.96630859375</v>
      </c>
      <c r="Z24">
        <v>224046.32441611501</v>
      </c>
      <c r="AA24">
        <f t="shared" si="11"/>
        <v>2.2221604881875052</v>
      </c>
      <c r="AB24">
        <f t="shared" si="12"/>
        <v>0.22222222221994803</v>
      </c>
      <c r="AC24">
        <v>3.1614515516493098</v>
      </c>
      <c r="AD24">
        <v>260049.751725215</v>
      </c>
      <c r="AE24">
        <f t="shared" si="13"/>
        <v>2.2221604881930546</v>
      </c>
      <c r="AF24">
        <f t="shared" si="14"/>
        <v>0.77777777777962087</v>
      </c>
      <c r="AG24">
        <v>2.967529296875</v>
      </c>
      <c r="AH24">
        <v>296055.33745430998</v>
      </c>
      <c r="AI24">
        <f t="shared" si="15"/>
        <v>2.2221604882083312</v>
      </c>
      <c r="AJ24">
        <f t="shared" si="16"/>
        <v>0.22222222222156771</v>
      </c>
      <c r="AK24">
        <v>3.1618584526909701</v>
      </c>
      <c r="AL24">
        <v>332058.79676340998</v>
      </c>
      <c r="AM24">
        <f t="shared" si="17"/>
        <v>2.2221604882027748</v>
      </c>
      <c r="AN24">
        <f t="shared" si="18"/>
        <v>0.77777777777886448</v>
      </c>
      <c r="AO24">
        <v>2.96661376953125</v>
      </c>
      <c r="AP24">
        <v>4.157958984375</v>
      </c>
    </row>
    <row r="25" spans="1:42" x14ac:dyDescent="0.2">
      <c r="A25" s="3">
        <v>23</v>
      </c>
      <c r="B25">
        <v>8383.6704862373099</v>
      </c>
      <c r="C25">
        <v>3.15759523950442</v>
      </c>
      <c r="D25">
        <f t="shared" si="0"/>
        <v>2.3287973572881415</v>
      </c>
      <c r="E25">
        <f t="shared" si="1"/>
        <v>0.23275517048868727</v>
      </c>
      <c r="F25">
        <v>44387.365885336701</v>
      </c>
      <c r="G25">
        <f t="shared" si="2"/>
        <v>2.323167783137972</v>
      </c>
      <c r="H25">
        <f t="shared" si="3"/>
        <v>0.76767676767659243</v>
      </c>
      <c r="I25">
        <v>2.9620361328125</v>
      </c>
      <c r="J25">
        <v>80392.399617432893</v>
      </c>
      <c r="K25">
        <f t="shared" si="4"/>
        <v>2.3231677831535826</v>
      </c>
      <c r="L25">
        <f t="shared" si="5"/>
        <v>0.23232323232460411</v>
      </c>
      <c r="M25">
        <v>3.1544787474352498</v>
      </c>
      <c r="N25">
        <v>116395.780924533</v>
      </c>
      <c r="O25">
        <f t="shared" si="6"/>
        <v>2.3231677831258359</v>
      </c>
      <c r="P25">
        <f t="shared" si="7"/>
        <v>0.76767676767752524</v>
      </c>
      <c r="Q25">
        <v>2.9644775390625</v>
      </c>
      <c r="R25">
        <v>152401.16064362801</v>
      </c>
      <c r="S25">
        <f t="shared" si="8"/>
        <v>2.3231677831411162</v>
      </c>
      <c r="T25">
        <f t="shared" si="19"/>
        <v>0.23232323232364782</v>
      </c>
      <c r="U25">
        <v>3.1587512083727298</v>
      </c>
      <c r="V25">
        <v>188404.551951728</v>
      </c>
      <c r="W25">
        <f t="shared" si="9"/>
        <v>2.3231677831688842</v>
      </c>
      <c r="X25">
        <f t="shared" si="10"/>
        <v>0.76767676767422066</v>
      </c>
      <c r="Y25">
        <v>2.965087890625</v>
      </c>
      <c r="Z25">
        <v>224409.95067782301</v>
      </c>
      <c r="AA25">
        <f t="shared" si="11"/>
        <v>2.3231677831063919</v>
      </c>
      <c r="AB25">
        <f t="shared" si="12"/>
        <v>0.23232323232098204</v>
      </c>
      <c r="AC25">
        <v>3.16162109375</v>
      </c>
      <c r="AD25">
        <v>260413.37798692301</v>
      </c>
      <c r="AE25">
        <f t="shared" si="13"/>
        <v>2.3231677831119555</v>
      </c>
      <c r="AF25">
        <f t="shared" si="14"/>
        <v>0.76767676767859094</v>
      </c>
      <c r="AG25">
        <v>2.96600341796875</v>
      </c>
      <c r="AH25">
        <v>296418.96371601801</v>
      </c>
      <c r="AI25">
        <f t="shared" si="15"/>
        <v>2.3231677831272322</v>
      </c>
      <c r="AJ25">
        <f t="shared" si="16"/>
        <v>0.23232323232258212</v>
      </c>
      <c r="AK25">
        <v>3.1629003659642101</v>
      </c>
      <c r="AL25">
        <v>332422.42302511801</v>
      </c>
      <c r="AM25">
        <f t="shared" si="17"/>
        <v>2.3231677831216757</v>
      </c>
      <c r="AN25">
        <f t="shared" si="18"/>
        <v>0.76767676767784443</v>
      </c>
      <c r="AO25">
        <v>2.965087890625</v>
      </c>
      <c r="AP25">
        <v>4.1575952395044196</v>
      </c>
    </row>
    <row r="26" spans="1:42" x14ac:dyDescent="0.2">
      <c r="A26" s="3">
        <v>24</v>
      </c>
      <c r="B26">
        <v>8747.2967479455001</v>
      </c>
      <c r="C26">
        <v>3.1582456646543502</v>
      </c>
      <c r="D26">
        <f t="shared" si="0"/>
        <v>2.4298046522070833</v>
      </c>
      <c r="E26">
        <f t="shared" si="1"/>
        <v>0.24285049719278337</v>
      </c>
      <c r="F26">
        <v>44750.992147044897</v>
      </c>
      <c r="G26">
        <f t="shared" si="2"/>
        <v>2.4241750780569156</v>
      </c>
      <c r="H26">
        <f t="shared" si="3"/>
        <v>0.7575757575755846</v>
      </c>
      <c r="I26">
        <v>2.96112060546875</v>
      </c>
      <c r="J26">
        <v>80756.025879141103</v>
      </c>
      <c r="K26">
        <f t="shared" si="4"/>
        <v>2.4241750780725297</v>
      </c>
      <c r="L26">
        <f t="shared" si="5"/>
        <v>0.24242424242559649</v>
      </c>
      <c r="M26">
        <v>3.1543061227509899</v>
      </c>
      <c r="N26">
        <v>116759.40718624101</v>
      </c>
      <c r="O26">
        <f t="shared" si="6"/>
        <v>2.4241750780447227</v>
      </c>
      <c r="P26">
        <f t="shared" si="7"/>
        <v>0.75757575757651086</v>
      </c>
      <c r="Q26">
        <v>2.96356201171875</v>
      </c>
      <c r="R26">
        <v>152764.78690533701</v>
      </c>
      <c r="S26">
        <f t="shared" si="8"/>
        <v>2.42417507806028</v>
      </c>
      <c r="T26">
        <f t="shared" si="19"/>
        <v>0.24242424242467447</v>
      </c>
      <c r="U26">
        <v>3.1585970791906601</v>
      </c>
      <c r="V26">
        <v>188768.178213437</v>
      </c>
      <c r="W26">
        <f t="shared" si="9"/>
        <v>2.4241750780880551</v>
      </c>
      <c r="X26">
        <f t="shared" si="10"/>
        <v>0.75757575757322126</v>
      </c>
      <c r="Y26">
        <v>2.9638671875</v>
      </c>
      <c r="Z26">
        <v>224773.57693953201</v>
      </c>
      <c r="AA26">
        <f t="shared" si="11"/>
        <v>2.4241750780255629</v>
      </c>
      <c r="AB26">
        <f t="shared" si="12"/>
        <v>0.24242424242204449</v>
      </c>
      <c r="AC26">
        <v>3.1622221975614502</v>
      </c>
      <c r="AD26">
        <v>260777.004248632</v>
      </c>
      <c r="AE26">
        <f t="shared" si="13"/>
        <v>2.4241750780311122</v>
      </c>
      <c r="AF26">
        <f t="shared" si="14"/>
        <v>0.75757575757753559</v>
      </c>
      <c r="AG26">
        <v>2.96478271484375</v>
      </c>
      <c r="AH26">
        <v>296782.58997772698</v>
      </c>
      <c r="AI26">
        <f t="shared" si="15"/>
        <v>2.4241750780463889</v>
      </c>
      <c r="AJ26">
        <f t="shared" si="16"/>
        <v>0.24242424242362209</v>
      </c>
      <c r="AK26">
        <v>3.1628325491239502</v>
      </c>
      <c r="AL26">
        <v>332786.04928682698</v>
      </c>
      <c r="AM26">
        <f t="shared" si="17"/>
        <v>2.4241750780408324</v>
      </c>
      <c r="AN26">
        <f t="shared" si="18"/>
        <v>0.75757575757679885</v>
      </c>
      <c r="AO26">
        <v>2.96356201171875</v>
      </c>
      <c r="AP26">
        <v>4.1582456646543502</v>
      </c>
    </row>
    <row r="27" spans="1:42" x14ac:dyDescent="0.2">
      <c r="A27" s="3">
        <v>25</v>
      </c>
      <c r="B27">
        <v>9110.9230096536994</v>
      </c>
      <c r="C27">
        <v>3.1582549124053099</v>
      </c>
      <c r="D27">
        <f t="shared" si="0"/>
        <v>2.5308119471260277</v>
      </c>
      <c r="E27">
        <f t="shared" si="1"/>
        <v>0.25294582389687975</v>
      </c>
      <c r="F27">
        <v>45114.6184087531</v>
      </c>
      <c r="G27">
        <f t="shared" si="2"/>
        <v>2.5251823729758609</v>
      </c>
      <c r="H27">
        <f t="shared" si="3"/>
        <v>0.74747474747457654</v>
      </c>
      <c r="I27">
        <v>2.960205078125</v>
      </c>
      <c r="J27">
        <v>81119.652140849299</v>
      </c>
      <c r="K27">
        <f t="shared" si="4"/>
        <v>2.5251823729914697</v>
      </c>
      <c r="L27">
        <f t="shared" si="5"/>
        <v>0.25252525252658814</v>
      </c>
      <c r="M27">
        <v>3.15449724293723</v>
      </c>
      <c r="N27">
        <v>117123.033447949</v>
      </c>
      <c r="O27">
        <f t="shared" si="6"/>
        <v>2.5251823729636094</v>
      </c>
      <c r="P27">
        <f t="shared" si="7"/>
        <v>0.74747474747549647</v>
      </c>
      <c r="Q27">
        <v>2.962646484375</v>
      </c>
      <c r="R27">
        <v>153128.41316704499</v>
      </c>
      <c r="S27">
        <f t="shared" si="8"/>
        <v>2.5251823729791667</v>
      </c>
      <c r="T27">
        <f t="shared" si="19"/>
        <v>0.25252525252567343</v>
      </c>
      <c r="U27">
        <v>3.15948486328125</v>
      </c>
      <c r="V27">
        <v>189131.80447514501</v>
      </c>
      <c r="W27">
        <f t="shared" si="9"/>
        <v>2.5251823730069418</v>
      </c>
      <c r="X27">
        <f t="shared" si="10"/>
        <v>0.7474747474722504</v>
      </c>
      <c r="Y27">
        <v>2.96295166015625</v>
      </c>
      <c r="Z27">
        <v>225137.20320123999</v>
      </c>
      <c r="AA27">
        <f t="shared" si="11"/>
        <v>2.5251823729444425</v>
      </c>
      <c r="AB27">
        <f t="shared" si="12"/>
        <v>0.25252525252307778</v>
      </c>
      <c r="AC27">
        <v>3.16252737334298</v>
      </c>
      <c r="AD27">
        <v>261140.63051034001</v>
      </c>
      <c r="AE27">
        <f t="shared" si="13"/>
        <v>2.5251823729499989</v>
      </c>
      <c r="AF27">
        <f t="shared" si="14"/>
        <v>0.74747474747650722</v>
      </c>
      <c r="AG27">
        <v>2.96356201171875</v>
      </c>
      <c r="AH27">
        <v>297146.21623943502</v>
      </c>
      <c r="AI27">
        <f t="shared" si="15"/>
        <v>2.5251823729652898</v>
      </c>
      <c r="AJ27">
        <f t="shared" si="16"/>
        <v>0.25252525252463648</v>
      </c>
      <c r="AK27">
        <v>3.1634521484375</v>
      </c>
      <c r="AL27">
        <v>333149.67554853501</v>
      </c>
      <c r="AM27">
        <f t="shared" si="17"/>
        <v>2.5251823729597334</v>
      </c>
      <c r="AN27">
        <f t="shared" si="18"/>
        <v>0.7474747474757788</v>
      </c>
      <c r="AO27">
        <v>2.962646484375</v>
      </c>
      <c r="AP27">
        <v>4.1582549124053099</v>
      </c>
    </row>
    <row r="28" spans="1:42" x14ac:dyDescent="0.2">
      <c r="A28" s="3">
        <v>26</v>
      </c>
      <c r="B28">
        <v>9474.5492713618896</v>
      </c>
      <c r="C28">
        <v>3.15765380859375</v>
      </c>
      <c r="D28">
        <f t="shared" si="0"/>
        <v>2.6318192420449695</v>
      </c>
      <c r="E28">
        <f t="shared" si="1"/>
        <v>0.26304115060097583</v>
      </c>
      <c r="F28">
        <v>45478.244670461303</v>
      </c>
      <c r="G28">
        <f t="shared" si="2"/>
        <v>2.6261896678948062</v>
      </c>
      <c r="H28">
        <f t="shared" si="3"/>
        <v>0.73737373737356848</v>
      </c>
      <c r="I28">
        <v>2.9595947265625</v>
      </c>
      <c r="J28">
        <v>81483.278402557495</v>
      </c>
      <c r="K28">
        <f t="shared" si="4"/>
        <v>2.6261896679104133</v>
      </c>
      <c r="L28">
        <f t="shared" si="5"/>
        <v>0.2626262626275801</v>
      </c>
      <c r="M28">
        <v>3.1549935389047201</v>
      </c>
      <c r="N28">
        <v>117486.659709657</v>
      </c>
      <c r="O28">
        <f t="shared" si="6"/>
        <v>2.6261896678825032</v>
      </c>
      <c r="P28">
        <f t="shared" si="7"/>
        <v>0.73737373737448142</v>
      </c>
      <c r="Q28">
        <v>2.9620361328125</v>
      </c>
      <c r="R28">
        <v>153492.03942875299</v>
      </c>
      <c r="S28">
        <f t="shared" si="8"/>
        <v>2.6261896678980534</v>
      </c>
      <c r="T28">
        <f t="shared" si="19"/>
        <v>0.26262626262667232</v>
      </c>
      <c r="U28">
        <v>3.1597900390625</v>
      </c>
      <c r="V28">
        <v>189495.43073685301</v>
      </c>
      <c r="W28">
        <f t="shared" si="9"/>
        <v>2.6261896679258356</v>
      </c>
      <c r="X28">
        <f t="shared" si="10"/>
        <v>0.73737373737127876</v>
      </c>
      <c r="Y28">
        <v>2.9620361328125</v>
      </c>
      <c r="Z28">
        <v>225500.82946294799</v>
      </c>
      <c r="AA28">
        <f t="shared" si="11"/>
        <v>2.6261896678633363</v>
      </c>
      <c r="AB28">
        <f t="shared" si="12"/>
        <v>0.26262626262411254</v>
      </c>
      <c r="AC28">
        <v>3.1624040699968399</v>
      </c>
      <c r="AD28">
        <v>261504.25677204799</v>
      </c>
      <c r="AE28">
        <f t="shared" si="13"/>
        <v>2.6261896678688856</v>
      </c>
      <c r="AF28">
        <f t="shared" si="14"/>
        <v>0.73737373737547884</v>
      </c>
      <c r="AG28">
        <v>2.962646484375</v>
      </c>
      <c r="AH28">
        <v>297509.84250114299</v>
      </c>
      <c r="AI28">
        <f t="shared" si="15"/>
        <v>2.6261896678841623</v>
      </c>
      <c r="AJ28">
        <f t="shared" si="16"/>
        <v>0.26262626262564803</v>
      </c>
      <c r="AK28">
        <v>3.1632795237531499</v>
      </c>
      <c r="AL28">
        <v>333513.30181024299</v>
      </c>
      <c r="AM28">
        <f t="shared" si="17"/>
        <v>2.6261896678786059</v>
      </c>
      <c r="AN28">
        <f t="shared" si="18"/>
        <v>0.73737373737476175</v>
      </c>
      <c r="AO28">
        <v>2.96142578125</v>
      </c>
      <c r="AP28">
        <v>4.15765380859375</v>
      </c>
    </row>
    <row r="29" spans="1:42" x14ac:dyDescent="0.2">
      <c r="A29" s="3">
        <v>27</v>
      </c>
      <c r="B29">
        <v>9838.1755330700908</v>
      </c>
      <c r="C29">
        <v>3.15826416015625</v>
      </c>
      <c r="D29">
        <f t="shared" si="0"/>
        <v>2.732826536963914</v>
      </c>
      <c r="E29">
        <f t="shared" si="1"/>
        <v>0.27313647730507218</v>
      </c>
      <c r="F29">
        <v>45841.870932169499</v>
      </c>
      <c r="G29">
        <f t="shared" si="2"/>
        <v>2.7271969628137498</v>
      </c>
      <c r="H29">
        <f t="shared" si="3"/>
        <v>0.72727272727256065</v>
      </c>
      <c r="I29">
        <v>2.95867919921875</v>
      </c>
      <c r="J29">
        <v>81846.904664265705</v>
      </c>
      <c r="K29">
        <f t="shared" si="4"/>
        <v>2.7271969628293604</v>
      </c>
      <c r="L29">
        <f t="shared" si="5"/>
        <v>0.2727272727285725</v>
      </c>
      <c r="M29">
        <v>3.15557306463058</v>
      </c>
      <c r="N29">
        <v>117850.285971365</v>
      </c>
      <c r="O29">
        <f t="shared" si="6"/>
        <v>2.7271969628013899</v>
      </c>
      <c r="P29">
        <f t="shared" si="7"/>
        <v>0.72727272727346703</v>
      </c>
      <c r="Q29">
        <v>2.96142578125</v>
      </c>
      <c r="R29">
        <v>153855.665690461</v>
      </c>
      <c r="S29">
        <f t="shared" si="8"/>
        <v>2.7271969628169472</v>
      </c>
      <c r="T29">
        <f t="shared" si="19"/>
        <v>0.272727272727672</v>
      </c>
      <c r="U29">
        <v>3.1601229580966201</v>
      </c>
      <c r="V29">
        <v>189859.05699856099</v>
      </c>
      <c r="W29">
        <f t="shared" si="9"/>
        <v>2.7271969628447152</v>
      </c>
      <c r="X29">
        <f t="shared" si="10"/>
        <v>0.72727272727030867</v>
      </c>
      <c r="Y29">
        <v>2.96142578125</v>
      </c>
      <c r="Z29">
        <v>225864.455724656</v>
      </c>
      <c r="AA29">
        <f t="shared" si="11"/>
        <v>2.727196962782223</v>
      </c>
      <c r="AB29">
        <f t="shared" si="12"/>
        <v>0.27272727272514652</v>
      </c>
      <c r="AC29">
        <v>3.1630914861505102</v>
      </c>
      <c r="AD29">
        <v>261867.88303375599</v>
      </c>
      <c r="AE29">
        <f t="shared" si="13"/>
        <v>2.7271969627877723</v>
      </c>
      <c r="AF29">
        <f t="shared" si="14"/>
        <v>0.72727272727445047</v>
      </c>
      <c r="AG29">
        <v>2.9620361328125</v>
      </c>
      <c r="AH29">
        <v>297873.46876285097</v>
      </c>
      <c r="AI29">
        <f t="shared" si="15"/>
        <v>2.727196962803049</v>
      </c>
      <c r="AJ29">
        <f t="shared" si="16"/>
        <v>0.27272727272666097</v>
      </c>
      <c r="AK29">
        <v>3.1637018377130102</v>
      </c>
      <c r="AL29">
        <v>333876.92807195103</v>
      </c>
      <c r="AM29">
        <f t="shared" si="17"/>
        <v>2.7271969627975068</v>
      </c>
      <c r="AN29">
        <f t="shared" si="18"/>
        <v>0.7272727272737417</v>
      </c>
      <c r="AO29">
        <v>2.9608154296875</v>
      </c>
      <c r="AP29">
        <v>4.15826416015625</v>
      </c>
    </row>
    <row r="30" spans="1:42" x14ac:dyDescent="0.2">
      <c r="A30" s="3">
        <v>28</v>
      </c>
      <c r="B30">
        <v>10201.801794778299</v>
      </c>
      <c r="C30">
        <v>3.1579805624605202</v>
      </c>
      <c r="D30">
        <f t="shared" si="0"/>
        <v>2.8338338318828611</v>
      </c>
      <c r="E30">
        <f t="shared" si="1"/>
        <v>0.28323180400916886</v>
      </c>
      <c r="F30">
        <v>46205.497193877702</v>
      </c>
      <c r="G30">
        <f t="shared" si="2"/>
        <v>2.8282042577326951</v>
      </c>
      <c r="H30">
        <f t="shared" si="3"/>
        <v>0.71717171717155259</v>
      </c>
      <c r="I30">
        <v>2.957763671875</v>
      </c>
      <c r="J30">
        <v>82210.530925973901</v>
      </c>
      <c r="K30">
        <f t="shared" si="4"/>
        <v>2.828204257748304</v>
      </c>
      <c r="L30">
        <f t="shared" si="5"/>
        <v>0.28282828282956446</v>
      </c>
      <c r="M30">
        <v>3.1556809550584402</v>
      </c>
      <c r="N30">
        <v>118213.91223307401</v>
      </c>
      <c r="O30">
        <f t="shared" si="6"/>
        <v>2.8282042577205608</v>
      </c>
      <c r="P30">
        <f t="shared" si="7"/>
        <v>0.71717171717242423</v>
      </c>
      <c r="Q30">
        <v>2.9608154296875</v>
      </c>
      <c r="R30">
        <v>154219.29195216901</v>
      </c>
      <c r="S30">
        <f t="shared" si="8"/>
        <v>2.8282042577358339</v>
      </c>
      <c r="T30">
        <f t="shared" si="19"/>
        <v>0.28282828282867095</v>
      </c>
      <c r="U30">
        <v>3.1605206113872399</v>
      </c>
      <c r="V30">
        <v>190222.683260269</v>
      </c>
      <c r="W30">
        <f t="shared" si="9"/>
        <v>2.8282042577636091</v>
      </c>
      <c r="X30">
        <f t="shared" si="10"/>
        <v>0.71717171716933703</v>
      </c>
      <c r="Y30">
        <v>2.9608154296875</v>
      </c>
      <c r="Z30">
        <v>226228.08198636401</v>
      </c>
      <c r="AA30">
        <f t="shared" si="11"/>
        <v>2.8282042577011168</v>
      </c>
      <c r="AB30">
        <f t="shared" si="12"/>
        <v>0.28282828282618128</v>
      </c>
      <c r="AC30">
        <v>3.1634305703519101</v>
      </c>
      <c r="AD30">
        <v>262231.50929546403</v>
      </c>
      <c r="AE30">
        <f t="shared" si="13"/>
        <v>2.8282042577066733</v>
      </c>
      <c r="AF30">
        <f t="shared" si="14"/>
        <v>0.71717171717342065</v>
      </c>
      <c r="AG30">
        <v>2.9612624043165701</v>
      </c>
      <c r="AH30">
        <v>298237.09502455901</v>
      </c>
      <c r="AI30">
        <f t="shared" si="15"/>
        <v>2.8282042577219499</v>
      </c>
      <c r="AJ30">
        <f t="shared" si="16"/>
        <v>0.28282828282767541</v>
      </c>
      <c r="AK30">
        <v>3.1637789023046601</v>
      </c>
      <c r="AL30">
        <v>334240.55433365901</v>
      </c>
      <c r="AM30">
        <f t="shared" si="17"/>
        <v>2.8282042577163935</v>
      </c>
      <c r="AN30">
        <f t="shared" si="18"/>
        <v>0.7171717171727231</v>
      </c>
      <c r="AO30">
        <v>2.95989990234375</v>
      </c>
      <c r="AP30">
        <v>4.1579805624605202</v>
      </c>
    </row>
    <row r="31" spans="1:42" x14ac:dyDescent="0.2">
      <c r="A31" s="3">
        <v>29</v>
      </c>
      <c r="B31">
        <v>10565.4280564865</v>
      </c>
      <c r="C31">
        <v>3.1585200145991199</v>
      </c>
      <c r="D31">
        <f t="shared" si="0"/>
        <v>2.9348411268018055</v>
      </c>
      <c r="E31">
        <f t="shared" si="1"/>
        <v>0.29332713071326522</v>
      </c>
      <c r="F31">
        <v>46569.123455585897</v>
      </c>
      <c r="G31">
        <f t="shared" si="2"/>
        <v>2.9292115526516387</v>
      </c>
      <c r="H31">
        <f t="shared" si="3"/>
        <v>0.70707070707054476</v>
      </c>
      <c r="I31">
        <v>2.9571533203125</v>
      </c>
      <c r="J31">
        <v>82574.157187682096</v>
      </c>
      <c r="K31">
        <f t="shared" si="4"/>
        <v>2.9292115526672475</v>
      </c>
      <c r="L31">
        <f t="shared" si="5"/>
        <v>0.29292929293055647</v>
      </c>
      <c r="M31">
        <v>3.1559213965831199</v>
      </c>
      <c r="N31">
        <v>118577.538494782</v>
      </c>
      <c r="O31">
        <f t="shared" si="6"/>
        <v>2.9292115526394475</v>
      </c>
      <c r="P31">
        <f t="shared" si="7"/>
        <v>0.70707070707140984</v>
      </c>
      <c r="Q31">
        <v>2.960205078125</v>
      </c>
      <c r="R31">
        <v>154582.918213878</v>
      </c>
      <c r="S31">
        <f t="shared" si="8"/>
        <v>2.9292115526550049</v>
      </c>
      <c r="T31">
        <f t="shared" si="19"/>
        <v>0.29292929292969833</v>
      </c>
      <c r="U31">
        <v>3.16065624506779</v>
      </c>
      <c r="V31">
        <v>190586.30952197799</v>
      </c>
      <c r="W31">
        <f t="shared" si="9"/>
        <v>2.9292115526827729</v>
      </c>
      <c r="X31">
        <f t="shared" si="10"/>
        <v>0.70707070706833841</v>
      </c>
      <c r="Y31">
        <v>2.960205078125</v>
      </c>
      <c r="Z31">
        <v>226591.708248073</v>
      </c>
      <c r="AA31">
        <f t="shared" si="11"/>
        <v>2.9292115526202807</v>
      </c>
      <c r="AB31">
        <f t="shared" si="12"/>
        <v>0.29292929292724301</v>
      </c>
      <c r="AC31">
        <v>3.16319629399471</v>
      </c>
      <c r="AD31">
        <v>262595.13555717299</v>
      </c>
      <c r="AE31">
        <f t="shared" si="13"/>
        <v>2.92921155262583</v>
      </c>
      <c r="AF31">
        <f t="shared" si="14"/>
        <v>0.70707070707236519</v>
      </c>
      <c r="AG31">
        <v>2.9608154296875</v>
      </c>
      <c r="AH31">
        <v>298600.72128626797</v>
      </c>
      <c r="AI31">
        <f t="shared" si="15"/>
        <v>2.9292115526411067</v>
      </c>
      <c r="AJ31">
        <f t="shared" si="16"/>
        <v>0.29292929292871539</v>
      </c>
      <c r="AK31">
        <v>3.1642197117658402</v>
      </c>
      <c r="AL31">
        <v>334604.18059536797</v>
      </c>
      <c r="AM31">
        <f t="shared" si="17"/>
        <v>2.9292115526355502</v>
      </c>
      <c r="AN31">
        <f t="shared" si="18"/>
        <v>0.70707070707167752</v>
      </c>
      <c r="AO31">
        <v>2.95928955078125</v>
      </c>
      <c r="AP31">
        <v>4.1585200145991204</v>
      </c>
    </row>
    <row r="32" spans="1:42" x14ac:dyDescent="0.2">
      <c r="A32" s="3">
        <v>30</v>
      </c>
      <c r="B32">
        <v>10929.0543181947</v>
      </c>
      <c r="C32">
        <v>3.15850460168086</v>
      </c>
      <c r="D32">
        <f t="shared" si="0"/>
        <v>3.03584842172075</v>
      </c>
      <c r="E32">
        <f t="shared" si="1"/>
        <v>0.30342245741736157</v>
      </c>
      <c r="F32">
        <v>46932.7497172941</v>
      </c>
      <c r="G32">
        <f t="shared" si="2"/>
        <v>3.0302188475705822</v>
      </c>
      <c r="H32">
        <f t="shared" si="3"/>
        <v>0.69696969696953692</v>
      </c>
      <c r="I32">
        <v>2.95623779296875</v>
      </c>
      <c r="J32">
        <v>82937.783449390306</v>
      </c>
      <c r="K32">
        <f t="shared" si="4"/>
        <v>3.0302188475861946</v>
      </c>
      <c r="L32">
        <f t="shared" si="5"/>
        <v>0.30303030303154882</v>
      </c>
      <c r="M32">
        <v>3.15619266394408</v>
      </c>
      <c r="N32">
        <v>118941.16475649</v>
      </c>
      <c r="O32">
        <f t="shared" si="6"/>
        <v>3.0302188475583343</v>
      </c>
      <c r="P32">
        <f t="shared" si="7"/>
        <v>0.69696969697039546</v>
      </c>
      <c r="Q32">
        <v>2.95928955078125</v>
      </c>
      <c r="R32">
        <v>154946.54447558601</v>
      </c>
      <c r="S32">
        <f t="shared" si="8"/>
        <v>3.0302188475738916</v>
      </c>
      <c r="T32">
        <f t="shared" si="19"/>
        <v>0.30303030303069722</v>
      </c>
      <c r="U32">
        <v>3.1611402107006201</v>
      </c>
      <c r="V32">
        <v>190949.935783686</v>
      </c>
      <c r="W32">
        <f t="shared" si="9"/>
        <v>3.0302188476016667</v>
      </c>
      <c r="X32">
        <f t="shared" si="10"/>
        <v>0.69696969696736688</v>
      </c>
      <c r="Y32">
        <v>2.9595947265625</v>
      </c>
      <c r="Z32">
        <v>226955.33450978101</v>
      </c>
      <c r="AA32">
        <f t="shared" si="11"/>
        <v>3.0302188475391674</v>
      </c>
      <c r="AB32">
        <f t="shared" si="12"/>
        <v>0.30303030302827699</v>
      </c>
      <c r="AC32">
        <v>3.1635168826940601</v>
      </c>
      <c r="AD32">
        <v>262958.76181888097</v>
      </c>
      <c r="AE32">
        <f t="shared" si="13"/>
        <v>3.0302188475447167</v>
      </c>
      <c r="AF32">
        <f t="shared" si="14"/>
        <v>0.69696969697133682</v>
      </c>
      <c r="AG32">
        <v>2.960205078125</v>
      </c>
      <c r="AH32">
        <v>298964.34754797601</v>
      </c>
      <c r="AI32">
        <f t="shared" si="15"/>
        <v>3.0302188475600076</v>
      </c>
      <c r="AJ32">
        <f t="shared" si="16"/>
        <v>0.30303030302972978</v>
      </c>
      <c r="AK32">
        <v>3.1635168826940498</v>
      </c>
      <c r="AL32">
        <v>334967.80685707601</v>
      </c>
      <c r="AM32">
        <f t="shared" si="17"/>
        <v>3.0302188475544511</v>
      </c>
      <c r="AN32">
        <f t="shared" si="18"/>
        <v>0.69696969697065758</v>
      </c>
      <c r="AO32">
        <v>2.95867919921875</v>
      </c>
      <c r="AP32">
        <v>4.1585046016808596</v>
      </c>
    </row>
    <row r="33" spans="1:42" x14ac:dyDescent="0.2">
      <c r="A33" s="3">
        <v>31</v>
      </c>
      <c r="B33">
        <v>11292.680579902901</v>
      </c>
      <c r="C33">
        <v>3.1585169320154698</v>
      </c>
      <c r="D33">
        <f t="shared" si="0"/>
        <v>3.1368557166396944</v>
      </c>
      <c r="E33">
        <f t="shared" si="1"/>
        <v>0.31351778412145792</v>
      </c>
      <c r="F33">
        <v>47296.375979002201</v>
      </c>
      <c r="G33">
        <f t="shared" si="2"/>
        <v>3.1312261424894992</v>
      </c>
      <c r="H33">
        <f t="shared" si="3"/>
        <v>0.68686868686853175</v>
      </c>
      <c r="I33">
        <v>2.95562744140625</v>
      </c>
      <c r="J33">
        <v>83301.409711098502</v>
      </c>
      <c r="K33">
        <f t="shared" si="4"/>
        <v>3.1312261425051382</v>
      </c>
      <c r="L33">
        <f t="shared" si="5"/>
        <v>0.31313131313254083</v>
      </c>
      <c r="M33">
        <v>3.15704345703125</v>
      </c>
      <c r="N33">
        <v>119304.791018198</v>
      </c>
      <c r="O33">
        <f t="shared" si="6"/>
        <v>3.131226142477221</v>
      </c>
      <c r="P33">
        <f t="shared" si="7"/>
        <v>0.68686868686938118</v>
      </c>
      <c r="Q33">
        <v>2.95867919921875</v>
      </c>
      <c r="R33">
        <v>155310.17073729401</v>
      </c>
      <c r="S33">
        <f t="shared" si="8"/>
        <v>3.1312261424927854</v>
      </c>
      <c r="T33">
        <f t="shared" si="19"/>
        <v>0.3131313131316969</v>
      </c>
      <c r="U33">
        <v>3.1613683218907398</v>
      </c>
      <c r="V33">
        <v>191313.56204539401</v>
      </c>
      <c r="W33">
        <f t="shared" si="9"/>
        <v>3.1312261425205534</v>
      </c>
      <c r="X33">
        <f t="shared" si="10"/>
        <v>0.68686868686639602</v>
      </c>
      <c r="Y33">
        <v>2.958984375</v>
      </c>
      <c r="Z33">
        <v>227318.96077148899</v>
      </c>
      <c r="AA33">
        <f t="shared" si="11"/>
        <v>3.1312261424580541</v>
      </c>
      <c r="AB33">
        <f t="shared" si="12"/>
        <v>0.31313131312931103</v>
      </c>
      <c r="AC33">
        <v>3.16386213206273</v>
      </c>
      <c r="AD33">
        <v>263322.38808058901</v>
      </c>
      <c r="AE33">
        <f t="shared" si="13"/>
        <v>3.1312261424636176</v>
      </c>
      <c r="AF33">
        <f t="shared" si="14"/>
        <v>0.68686868687030711</v>
      </c>
      <c r="AG33">
        <v>2.9595947265625</v>
      </c>
      <c r="AH33">
        <v>299327.97380968399</v>
      </c>
      <c r="AI33">
        <f t="shared" si="15"/>
        <v>3.1312261424788801</v>
      </c>
      <c r="AJ33">
        <f t="shared" si="16"/>
        <v>0.31313131313074133</v>
      </c>
      <c r="AK33">
        <v>3.16442007970327</v>
      </c>
      <c r="AL33">
        <v>335331.43311878399</v>
      </c>
      <c r="AM33">
        <f t="shared" si="17"/>
        <v>3.1312261424733379</v>
      </c>
      <c r="AN33">
        <f t="shared" si="18"/>
        <v>0.68686868686963898</v>
      </c>
      <c r="AO33">
        <v>2.9583740234375</v>
      </c>
      <c r="AP33">
        <v>4.1585169320154698</v>
      </c>
    </row>
    <row r="34" spans="1:42" x14ac:dyDescent="0.2">
      <c r="A34" s="3">
        <v>32</v>
      </c>
      <c r="B34">
        <v>11656.3068416111</v>
      </c>
      <c r="C34">
        <v>3.1594602026120802</v>
      </c>
      <c r="D34">
        <f t="shared" ref="D34:D65" si="20">B34/3600</f>
        <v>3.2378630115586389</v>
      </c>
      <c r="E34">
        <f t="shared" ref="E34:E65" si="21">D34/$D$101</f>
        <v>0.32361311082555433</v>
      </c>
      <c r="F34">
        <v>47660.002240710397</v>
      </c>
      <c r="G34">
        <f t="shared" ref="G34:G65" si="22">(F34:F133/3600)-10.0066560739</f>
        <v>3.2322334374084427</v>
      </c>
      <c r="H34">
        <f t="shared" ref="H34:H65" si="23">1-(G34/$G$101)</f>
        <v>0.67676767676752392</v>
      </c>
      <c r="I34">
        <v>2.95501708984375</v>
      </c>
      <c r="J34">
        <v>83665.035972806698</v>
      </c>
      <c r="K34">
        <f t="shared" ref="K34:K65" si="24">(J34:J133/3600)-20.0080543328</f>
        <v>3.2322334374240818</v>
      </c>
      <c r="L34">
        <f t="shared" ref="L34:L65" si="25">(K34/$K$101)</f>
        <v>0.32323232323353285</v>
      </c>
      <c r="M34">
        <v>3.1573239721432098</v>
      </c>
      <c r="N34">
        <v>119668.417279906</v>
      </c>
      <c r="O34">
        <f t="shared" ref="O34:O65" si="26">(N34:N133/3600)-30.0089935848</f>
        <v>3.2322334373961148</v>
      </c>
      <c r="P34">
        <f t="shared" ref="P34:P65" si="27">1-(O34/$O$101)</f>
        <v>0.67676767676836602</v>
      </c>
      <c r="Q34">
        <v>2.95806884765625</v>
      </c>
      <c r="R34">
        <v>155673.79699900199</v>
      </c>
      <c r="S34">
        <f t="shared" ref="S34:S65" si="28">(R33:R133/3600)-40.0104879512</f>
        <v>3.232233437411665</v>
      </c>
      <c r="T34">
        <f t="shared" si="19"/>
        <v>0.32323232323269513</v>
      </c>
      <c r="U34">
        <v>3.1619139391967002</v>
      </c>
      <c r="V34">
        <v>191677.18830710201</v>
      </c>
      <c r="W34">
        <f t="shared" ref="W34:W65" si="29">(V34:V133/3600)-50.0114299812</f>
        <v>3.2322334374394472</v>
      </c>
      <c r="X34">
        <f t="shared" ref="X34:X65" si="30">1-(W34/$W$101)</f>
        <v>0.67676767676542438</v>
      </c>
      <c r="Y34">
        <v>2.9583740234375</v>
      </c>
      <c r="Z34">
        <v>227682.58703319699</v>
      </c>
      <c r="AA34">
        <f t="shared" ref="AA34:AA65" si="31">(Z34:Z133/3600)-60.0129296274</f>
        <v>3.2322334373769408</v>
      </c>
      <c r="AB34">
        <f t="shared" ref="AB34:AB65" si="32">AA34/$AA$101</f>
        <v>0.32323232323034501</v>
      </c>
      <c r="AC34">
        <v>3.1637449938842002</v>
      </c>
      <c r="AD34">
        <v>263686.01434229698</v>
      </c>
      <c r="AE34">
        <f t="shared" ref="AE34:AE65" si="33">(AD34:AD133/3600)-70.0138816577</f>
        <v>3.2322334373825043</v>
      </c>
      <c r="AF34">
        <f t="shared" ref="AF34:AF65" si="34">1-(AE34/$AE$101)</f>
        <v>0.67676767676927874</v>
      </c>
      <c r="AG34">
        <v>2.958984375</v>
      </c>
      <c r="AH34">
        <v>299691.60007139202</v>
      </c>
      <c r="AI34">
        <f t="shared" ref="AI34:AI65" si="35">(AH34:AH133/3600)-80.0154332491</f>
        <v>3.232233437397781</v>
      </c>
      <c r="AJ34">
        <f t="shared" ref="AJ34:AJ65" si="36">AI34/$AI$101</f>
        <v>0.32323232323175571</v>
      </c>
      <c r="AK34">
        <v>3.1637819848878501</v>
      </c>
      <c r="AL34">
        <v>335695.05938049202</v>
      </c>
      <c r="AM34">
        <f t="shared" ref="AM34:AM65" si="37">(AL34:AL133/3600)-90.0163941683</f>
        <v>3.2322334373922388</v>
      </c>
      <c r="AN34">
        <f t="shared" ref="AN34:AN65" si="38">1-(AM34/$AM$101)</f>
        <v>0.67676767676861893</v>
      </c>
      <c r="AO34">
        <v>2.957763671875</v>
      </c>
      <c r="AP34">
        <v>4.1594602026120802</v>
      </c>
    </row>
    <row r="35" spans="1:42" x14ac:dyDescent="0.2">
      <c r="A35" s="3">
        <v>33</v>
      </c>
      <c r="B35">
        <v>12019.933103319299</v>
      </c>
      <c r="C35">
        <v>3.1589762369791798</v>
      </c>
      <c r="D35">
        <f t="shared" si="20"/>
        <v>3.3388703064775833</v>
      </c>
      <c r="E35">
        <f t="shared" si="21"/>
        <v>0.33370843752965068</v>
      </c>
      <c r="F35">
        <v>48023.6285024186</v>
      </c>
      <c r="G35">
        <f t="shared" si="22"/>
        <v>3.333240732327388</v>
      </c>
      <c r="H35">
        <f t="shared" si="23"/>
        <v>0.66666666666651586</v>
      </c>
      <c r="I35">
        <v>2.9541015625</v>
      </c>
      <c r="J35">
        <v>84028.662234514893</v>
      </c>
      <c r="K35">
        <f t="shared" si="24"/>
        <v>3.3332407323430253</v>
      </c>
      <c r="L35">
        <f t="shared" si="25"/>
        <v>0.33333333333452481</v>
      </c>
      <c r="M35">
        <v>3.1575520833333801</v>
      </c>
      <c r="N35">
        <v>120032.043541615</v>
      </c>
      <c r="O35">
        <f t="shared" si="26"/>
        <v>3.3332407323152786</v>
      </c>
      <c r="P35">
        <f t="shared" si="27"/>
        <v>0.66666666666732399</v>
      </c>
      <c r="Q35">
        <v>2.9571533203125</v>
      </c>
      <c r="R35">
        <v>156037.42326071</v>
      </c>
      <c r="S35">
        <f t="shared" si="28"/>
        <v>3.3332407323305588</v>
      </c>
      <c r="T35">
        <f t="shared" ref="T35:T66" si="39">S35/$S$101</f>
        <v>0.33333333333369475</v>
      </c>
      <c r="U35">
        <v>3.1623331705729201</v>
      </c>
      <c r="V35">
        <v>192040.81456880999</v>
      </c>
      <c r="W35">
        <f t="shared" si="29"/>
        <v>3.3332407323583269</v>
      </c>
      <c r="X35">
        <f t="shared" si="30"/>
        <v>0.66666666666445429</v>
      </c>
      <c r="Y35">
        <v>2.957763671875</v>
      </c>
      <c r="Z35">
        <v>228046.213294905</v>
      </c>
      <c r="AA35">
        <f t="shared" si="31"/>
        <v>3.3332407322958346</v>
      </c>
      <c r="AB35">
        <f t="shared" si="32"/>
        <v>0.33333333333137977</v>
      </c>
      <c r="AC35">
        <v>3.16375732421875</v>
      </c>
      <c r="AD35">
        <v>264049.64060400502</v>
      </c>
      <c r="AE35">
        <f t="shared" si="33"/>
        <v>3.3332407323013911</v>
      </c>
      <c r="AF35">
        <f t="shared" si="34"/>
        <v>0.66666666666825025</v>
      </c>
      <c r="AG35">
        <v>2.9583740234375</v>
      </c>
      <c r="AH35">
        <v>300055.2263331</v>
      </c>
      <c r="AI35">
        <f t="shared" si="35"/>
        <v>3.3332407323166677</v>
      </c>
      <c r="AJ35">
        <f t="shared" si="36"/>
        <v>0.33333333333276866</v>
      </c>
      <c r="AK35">
        <v>3.1642659505208299</v>
      </c>
      <c r="AL35">
        <v>336058.6856422</v>
      </c>
      <c r="AM35">
        <f t="shared" si="37"/>
        <v>3.3332407323111113</v>
      </c>
      <c r="AN35">
        <f t="shared" si="38"/>
        <v>0.66666666666760177</v>
      </c>
      <c r="AO35">
        <v>2.9571533203125</v>
      </c>
      <c r="AP35">
        <v>4.1589762369791803</v>
      </c>
    </row>
    <row r="36" spans="1:42" x14ac:dyDescent="0.2">
      <c r="A36" s="3">
        <v>34</v>
      </c>
      <c r="B36">
        <v>12383.5593650275</v>
      </c>
      <c r="C36">
        <v>3.1598270300663001</v>
      </c>
      <c r="D36">
        <f t="shared" si="20"/>
        <v>3.4398776013965278</v>
      </c>
      <c r="E36">
        <f t="shared" si="21"/>
        <v>0.34380376423374703</v>
      </c>
      <c r="F36">
        <v>48387.254764126803</v>
      </c>
      <c r="G36">
        <f t="shared" si="22"/>
        <v>3.4342480272463334</v>
      </c>
      <c r="H36">
        <f t="shared" si="23"/>
        <v>0.6565656565655078</v>
      </c>
      <c r="I36">
        <v>2.9534912109375</v>
      </c>
      <c r="J36">
        <v>84392.288496223104</v>
      </c>
      <c r="K36">
        <f t="shared" si="24"/>
        <v>3.4342480272619724</v>
      </c>
      <c r="L36">
        <f t="shared" si="25"/>
        <v>0.34343434343551721</v>
      </c>
      <c r="M36">
        <v>3.15756441366787</v>
      </c>
      <c r="N36">
        <v>120395.66980332301</v>
      </c>
      <c r="O36">
        <f t="shared" si="26"/>
        <v>3.4342480272341724</v>
      </c>
      <c r="P36">
        <f t="shared" si="27"/>
        <v>0.65656565656630883</v>
      </c>
      <c r="Q36">
        <v>2.95654296875</v>
      </c>
      <c r="R36">
        <v>156401.04952241899</v>
      </c>
      <c r="S36">
        <f t="shared" si="28"/>
        <v>3.4342480272497227</v>
      </c>
      <c r="T36">
        <f t="shared" si="39"/>
        <v>0.3434343434347214</v>
      </c>
      <c r="U36">
        <v>3.16183687460537</v>
      </c>
      <c r="V36">
        <v>192404.44083051899</v>
      </c>
      <c r="W36">
        <f t="shared" si="29"/>
        <v>3.4342480272774907</v>
      </c>
      <c r="X36">
        <f t="shared" si="30"/>
        <v>0.65656565656345567</v>
      </c>
      <c r="Y36">
        <v>2.9571533203125</v>
      </c>
      <c r="Z36">
        <v>228409.839556614</v>
      </c>
      <c r="AA36">
        <f t="shared" si="31"/>
        <v>3.4342480272149984</v>
      </c>
      <c r="AB36">
        <f t="shared" si="32"/>
        <v>0.3434343434324415</v>
      </c>
      <c r="AC36">
        <v>3.16402550899639</v>
      </c>
      <c r="AD36">
        <v>264413.26686571399</v>
      </c>
      <c r="AE36">
        <f t="shared" si="33"/>
        <v>3.434248027220562</v>
      </c>
      <c r="AF36">
        <f t="shared" si="34"/>
        <v>0.65656565656719346</v>
      </c>
      <c r="AG36">
        <v>2.957763671875</v>
      </c>
      <c r="AH36">
        <v>300418.85259480902</v>
      </c>
      <c r="AI36">
        <f t="shared" si="35"/>
        <v>3.4342480272358387</v>
      </c>
      <c r="AJ36">
        <f t="shared" si="36"/>
        <v>0.34343434343381007</v>
      </c>
      <c r="AK36">
        <v>3.1642936937739501</v>
      </c>
      <c r="AL36">
        <v>336422.31190390902</v>
      </c>
      <c r="AM36">
        <f t="shared" si="37"/>
        <v>3.4342480272302822</v>
      </c>
      <c r="AN36">
        <f t="shared" si="38"/>
        <v>0.65656565656655475</v>
      </c>
      <c r="AO36">
        <v>2.95684814453125</v>
      </c>
      <c r="AP36">
        <v>4.1598270300662996</v>
      </c>
    </row>
    <row r="37" spans="1:42" x14ac:dyDescent="0.2">
      <c r="A37" s="3">
        <v>35</v>
      </c>
      <c r="B37">
        <v>12747.1856267356</v>
      </c>
      <c r="C37">
        <v>3.1600458935053899</v>
      </c>
      <c r="D37">
        <f t="shared" si="20"/>
        <v>3.5408848963154442</v>
      </c>
      <c r="E37">
        <f t="shared" si="21"/>
        <v>0.35389909093784061</v>
      </c>
      <c r="F37">
        <v>48750.881025834999</v>
      </c>
      <c r="G37">
        <f t="shared" si="22"/>
        <v>3.5352553221652769</v>
      </c>
      <c r="H37">
        <f t="shared" si="23"/>
        <v>0.64646464646449997</v>
      </c>
      <c r="I37">
        <v>2.952880859375</v>
      </c>
      <c r="J37">
        <v>84755.914757931299</v>
      </c>
      <c r="K37">
        <f t="shared" si="24"/>
        <v>3.535255322180916</v>
      </c>
      <c r="L37">
        <f t="shared" si="25"/>
        <v>0.35353535353650917</v>
      </c>
      <c r="M37">
        <v>3.15821483881798</v>
      </c>
      <c r="N37">
        <v>120759.296065031</v>
      </c>
      <c r="O37">
        <f t="shared" si="26"/>
        <v>3.5352553221530592</v>
      </c>
      <c r="P37">
        <f t="shared" si="27"/>
        <v>0.64646464646529456</v>
      </c>
      <c r="Q37">
        <v>2.95565210207553</v>
      </c>
      <c r="R37">
        <v>156764.675784127</v>
      </c>
      <c r="S37">
        <f t="shared" si="28"/>
        <v>3.5352553221686165</v>
      </c>
      <c r="T37">
        <f t="shared" si="39"/>
        <v>0.35353535353572108</v>
      </c>
      <c r="U37">
        <v>3.1622561059816099</v>
      </c>
      <c r="V37">
        <v>192768.06709222699</v>
      </c>
      <c r="W37">
        <f t="shared" si="29"/>
        <v>3.5352553221963845</v>
      </c>
      <c r="X37">
        <f t="shared" si="30"/>
        <v>0.64646464646248403</v>
      </c>
      <c r="Y37">
        <v>2.95623779296875</v>
      </c>
      <c r="Z37">
        <v>228773.465818322</v>
      </c>
      <c r="AA37">
        <f t="shared" si="31"/>
        <v>3.5352553221338923</v>
      </c>
      <c r="AB37">
        <f t="shared" si="32"/>
        <v>0.3535353535334762</v>
      </c>
      <c r="AC37">
        <v>3.1649533666746401</v>
      </c>
      <c r="AD37">
        <v>264776.89312742202</v>
      </c>
      <c r="AE37">
        <f t="shared" si="33"/>
        <v>3.5352553221394487</v>
      </c>
      <c r="AF37">
        <f t="shared" si="34"/>
        <v>0.64646464646616508</v>
      </c>
      <c r="AG37">
        <v>2.9571533203125</v>
      </c>
      <c r="AH37">
        <v>300782.478856517</v>
      </c>
      <c r="AI37">
        <f t="shared" si="35"/>
        <v>3.5352553221547254</v>
      </c>
      <c r="AJ37">
        <f t="shared" si="36"/>
        <v>0.35353535353482302</v>
      </c>
      <c r="AK37">
        <v>3.1649533666746499</v>
      </c>
      <c r="AL37">
        <v>336785.938165617</v>
      </c>
      <c r="AM37">
        <f t="shared" si="37"/>
        <v>3.5352553221491689</v>
      </c>
      <c r="AN37">
        <f t="shared" si="38"/>
        <v>0.64646464646553614</v>
      </c>
      <c r="AO37">
        <v>2.95623779296875</v>
      </c>
      <c r="AP37">
        <v>4.1600458935053899</v>
      </c>
    </row>
    <row r="38" spans="1:42" x14ac:dyDescent="0.2">
      <c r="A38" s="3">
        <v>36</v>
      </c>
      <c r="B38">
        <v>13110.811888443801</v>
      </c>
      <c r="C38">
        <v>3.1596513227982999</v>
      </c>
      <c r="D38">
        <f t="shared" si="20"/>
        <v>3.6418921912343891</v>
      </c>
      <c r="E38">
        <f t="shared" si="21"/>
        <v>0.36399441764193702</v>
      </c>
      <c r="F38">
        <v>49114.507287543202</v>
      </c>
      <c r="G38">
        <f t="shared" si="22"/>
        <v>3.6362626170842223</v>
      </c>
      <c r="H38">
        <f t="shared" si="23"/>
        <v>0.63636363636349191</v>
      </c>
      <c r="I38">
        <v>2.9522705078125</v>
      </c>
      <c r="J38">
        <v>85119.541019639495</v>
      </c>
      <c r="K38">
        <f t="shared" si="24"/>
        <v>3.6362626170998595</v>
      </c>
      <c r="L38">
        <f t="shared" si="25"/>
        <v>0.36363636363750118</v>
      </c>
      <c r="M38">
        <v>3.1584028764204</v>
      </c>
      <c r="N38">
        <v>121122.922326739</v>
      </c>
      <c r="O38">
        <f t="shared" si="26"/>
        <v>3.6362626170719459</v>
      </c>
      <c r="P38">
        <f t="shared" si="27"/>
        <v>0.63636363636428017</v>
      </c>
      <c r="Q38">
        <v>2.95501708984375</v>
      </c>
      <c r="R38">
        <v>157128.30204583501</v>
      </c>
      <c r="S38">
        <f t="shared" si="28"/>
        <v>3.6362626170875032</v>
      </c>
      <c r="T38">
        <f t="shared" si="39"/>
        <v>0.36363636363672003</v>
      </c>
      <c r="U38">
        <v>3.1625643643466401</v>
      </c>
      <c r="V38">
        <v>193131.693353935</v>
      </c>
      <c r="W38">
        <f t="shared" si="29"/>
        <v>3.6362626171152783</v>
      </c>
      <c r="X38">
        <f t="shared" si="30"/>
        <v>0.63636363636151239</v>
      </c>
      <c r="Y38">
        <v>2.95562744140625</v>
      </c>
      <c r="Z38">
        <v>229137.09208003001</v>
      </c>
      <c r="AA38">
        <f t="shared" si="31"/>
        <v>3.636262617052779</v>
      </c>
      <c r="AB38">
        <f t="shared" si="32"/>
        <v>0.36363636363451024</v>
      </c>
      <c r="AC38">
        <v>3.16497802734375</v>
      </c>
      <c r="AD38">
        <v>265140.51938913</v>
      </c>
      <c r="AE38">
        <f t="shared" si="33"/>
        <v>3.6362626170583354</v>
      </c>
      <c r="AF38">
        <f t="shared" si="34"/>
        <v>0.63636363636513671</v>
      </c>
      <c r="AG38">
        <v>2.95654296875</v>
      </c>
      <c r="AH38">
        <v>301146.10511822498</v>
      </c>
      <c r="AI38">
        <f t="shared" si="35"/>
        <v>3.6362626170736121</v>
      </c>
      <c r="AJ38">
        <f t="shared" si="36"/>
        <v>0.36363636363583601</v>
      </c>
      <c r="AK38">
        <v>3.1646728515625</v>
      </c>
      <c r="AL38">
        <v>337149.56442732498</v>
      </c>
      <c r="AM38">
        <f t="shared" si="37"/>
        <v>3.6362626170680556</v>
      </c>
      <c r="AN38">
        <f t="shared" si="38"/>
        <v>0.63636363636451754</v>
      </c>
      <c r="AO38">
        <v>2.95562744140625</v>
      </c>
      <c r="AP38">
        <v>4.1596513227983003</v>
      </c>
    </row>
    <row r="39" spans="1:42" x14ac:dyDescent="0.2">
      <c r="A39" s="3">
        <v>37</v>
      </c>
      <c r="B39">
        <v>13474.438150152</v>
      </c>
      <c r="C39">
        <v>3.1606007585621598</v>
      </c>
      <c r="D39">
        <f t="shared" si="20"/>
        <v>3.7428994861533336</v>
      </c>
      <c r="E39">
        <f t="shared" si="21"/>
        <v>0.37408974434603343</v>
      </c>
      <c r="F39">
        <v>49478.133549251397</v>
      </c>
      <c r="G39">
        <f t="shared" si="22"/>
        <v>3.7372699120031658</v>
      </c>
      <c r="H39">
        <f t="shared" si="23"/>
        <v>0.62626262626248408</v>
      </c>
      <c r="I39">
        <v>2.95135498046875</v>
      </c>
      <c r="J39">
        <v>85483.167281347705</v>
      </c>
      <c r="K39">
        <f t="shared" si="24"/>
        <v>3.7372699120188067</v>
      </c>
      <c r="L39">
        <f t="shared" si="25"/>
        <v>0.37373737373849353</v>
      </c>
      <c r="M39">
        <v>3.1583689680004201</v>
      </c>
      <c r="N39">
        <v>121486.548588447</v>
      </c>
      <c r="O39">
        <f t="shared" si="26"/>
        <v>3.7372699119908326</v>
      </c>
      <c r="P39">
        <f t="shared" si="27"/>
        <v>0.62626262626326579</v>
      </c>
      <c r="Q39">
        <v>2.9541015625</v>
      </c>
      <c r="R39">
        <v>157491.92830754301</v>
      </c>
      <c r="S39">
        <f t="shared" si="28"/>
        <v>3.737269912006397</v>
      </c>
      <c r="T39">
        <f t="shared" si="39"/>
        <v>0.37373737373771965</v>
      </c>
      <c r="U39">
        <v>3.1632949366715</v>
      </c>
      <c r="V39">
        <v>193495.31961564301</v>
      </c>
      <c r="W39">
        <f t="shared" si="29"/>
        <v>3.737269912034165</v>
      </c>
      <c r="X39">
        <f t="shared" si="30"/>
        <v>0.62626262626054152</v>
      </c>
      <c r="Y39">
        <v>2.9547119140625</v>
      </c>
      <c r="Z39">
        <v>229500.71834173799</v>
      </c>
      <c r="AA39">
        <f t="shared" si="31"/>
        <v>3.7372699119716657</v>
      </c>
      <c r="AB39">
        <f t="shared" si="32"/>
        <v>0.37373737373554422</v>
      </c>
      <c r="AC39">
        <v>3.16442007970325</v>
      </c>
      <c r="AD39">
        <v>265504.14565083798</v>
      </c>
      <c r="AE39">
        <f t="shared" si="33"/>
        <v>3.7372699119772221</v>
      </c>
      <c r="AF39">
        <f t="shared" si="34"/>
        <v>0.62626262626410822</v>
      </c>
      <c r="AG39">
        <v>2.9559326171875</v>
      </c>
      <c r="AH39">
        <v>301509.73137993301</v>
      </c>
      <c r="AI39">
        <f t="shared" si="35"/>
        <v>3.7372699119924988</v>
      </c>
      <c r="AJ39">
        <f t="shared" si="36"/>
        <v>0.37373737373684901</v>
      </c>
      <c r="AK39">
        <v>3.16523079920275</v>
      </c>
      <c r="AL39">
        <v>337513.19068903301</v>
      </c>
      <c r="AM39">
        <f t="shared" si="37"/>
        <v>3.7372699119869566</v>
      </c>
      <c r="AN39">
        <f t="shared" si="38"/>
        <v>0.6262626262634976</v>
      </c>
      <c r="AO39">
        <v>2.9549646859215</v>
      </c>
      <c r="AP39">
        <v>4.1606007585621603</v>
      </c>
    </row>
    <row r="40" spans="1:42" x14ac:dyDescent="0.2">
      <c r="A40" s="3">
        <v>38</v>
      </c>
      <c r="B40">
        <v>13838.064411860199</v>
      </c>
      <c r="C40">
        <v>3.16070556640625</v>
      </c>
      <c r="D40">
        <f t="shared" si="20"/>
        <v>3.8439067810722776</v>
      </c>
      <c r="E40">
        <f t="shared" si="21"/>
        <v>0.38418507105012972</v>
      </c>
      <c r="F40">
        <v>49841.7598109596</v>
      </c>
      <c r="G40">
        <f t="shared" si="22"/>
        <v>3.8382772069221112</v>
      </c>
      <c r="H40">
        <f t="shared" si="23"/>
        <v>0.61616161616147602</v>
      </c>
      <c r="I40">
        <v>2.95074462890625</v>
      </c>
      <c r="J40">
        <v>85846.793543055901</v>
      </c>
      <c r="K40">
        <f t="shared" si="24"/>
        <v>3.8382772069377502</v>
      </c>
      <c r="L40">
        <f t="shared" si="25"/>
        <v>0.38383838383948554</v>
      </c>
      <c r="M40">
        <v>3.1585693359375</v>
      </c>
      <c r="N40">
        <v>121850.17485015601</v>
      </c>
      <c r="O40">
        <f t="shared" si="26"/>
        <v>3.8382772069100035</v>
      </c>
      <c r="P40">
        <f t="shared" si="27"/>
        <v>0.61616161616222298</v>
      </c>
      <c r="Q40">
        <v>2.9534912109375</v>
      </c>
      <c r="R40">
        <v>157855.55456925099</v>
      </c>
      <c r="S40">
        <f t="shared" si="28"/>
        <v>3.8382772069252766</v>
      </c>
      <c r="T40">
        <f t="shared" si="39"/>
        <v>0.38383838383871788</v>
      </c>
      <c r="U40">
        <v>3.1630236693102298</v>
      </c>
      <c r="V40">
        <v>193858.94587735101</v>
      </c>
      <c r="W40">
        <f t="shared" si="29"/>
        <v>3.8382772069530589</v>
      </c>
      <c r="X40">
        <f t="shared" si="30"/>
        <v>0.61616161615956999</v>
      </c>
      <c r="Y40">
        <v>2.9541015625</v>
      </c>
      <c r="Z40">
        <v>229864.34460344599</v>
      </c>
      <c r="AA40">
        <f t="shared" si="31"/>
        <v>3.8382772068905524</v>
      </c>
      <c r="AB40">
        <f t="shared" si="32"/>
        <v>0.38383838383657826</v>
      </c>
      <c r="AC40">
        <v>3.1646111998894901</v>
      </c>
      <c r="AD40">
        <v>265867.77191254601</v>
      </c>
      <c r="AE40">
        <f t="shared" si="33"/>
        <v>3.8382772068961231</v>
      </c>
      <c r="AF40">
        <f t="shared" si="34"/>
        <v>0.61616161616307852</v>
      </c>
      <c r="AG40">
        <v>2.95501708984375</v>
      </c>
      <c r="AH40">
        <v>301873.35764164099</v>
      </c>
      <c r="AI40">
        <f t="shared" si="35"/>
        <v>3.8382772069113855</v>
      </c>
      <c r="AJ40">
        <f t="shared" si="36"/>
        <v>0.38383838383786195</v>
      </c>
      <c r="AK40">
        <v>3.16485780658153</v>
      </c>
      <c r="AL40">
        <v>337876.81695074099</v>
      </c>
      <c r="AM40">
        <f t="shared" si="37"/>
        <v>3.8382772069058291</v>
      </c>
      <c r="AN40">
        <f t="shared" si="38"/>
        <v>0.61616161616248044</v>
      </c>
      <c r="AO40">
        <v>2.9541015625</v>
      </c>
      <c r="AP40">
        <v>4.16070556640625</v>
      </c>
    </row>
    <row r="41" spans="1:42" x14ac:dyDescent="0.2">
      <c r="A41" s="3">
        <v>39</v>
      </c>
      <c r="B41">
        <v>14201.690673568401</v>
      </c>
      <c r="C41">
        <v>3.16075180516096</v>
      </c>
      <c r="D41">
        <f t="shared" si="20"/>
        <v>3.9449140759912225</v>
      </c>
      <c r="E41">
        <f t="shared" si="21"/>
        <v>0.39428039775422613</v>
      </c>
      <c r="F41">
        <v>50205.386072667803</v>
      </c>
      <c r="G41">
        <f t="shared" si="22"/>
        <v>3.9392845018410565</v>
      </c>
      <c r="H41">
        <f t="shared" si="23"/>
        <v>0.60606060606046808</v>
      </c>
      <c r="I41">
        <v>2.95013427734375</v>
      </c>
      <c r="J41">
        <v>86210.419804764097</v>
      </c>
      <c r="K41">
        <f t="shared" si="24"/>
        <v>3.9392845018566938</v>
      </c>
      <c r="L41">
        <f t="shared" si="25"/>
        <v>0.39393939394047756</v>
      </c>
      <c r="M41">
        <v>3.1589207504733698</v>
      </c>
      <c r="N41">
        <v>122213.801111864</v>
      </c>
      <c r="O41">
        <f t="shared" si="26"/>
        <v>3.9392845018288902</v>
      </c>
      <c r="P41">
        <f t="shared" si="27"/>
        <v>0.6060606060612086</v>
      </c>
      <c r="Q41">
        <v>2.95257568359375</v>
      </c>
      <c r="R41">
        <v>158219.18083095999</v>
      </c>
      <c r="S41">
        <f t="shared" si="28"/>
        <v>3.9392845018444405</v>
      </c>
      <c r="T41">
        <f t="shared" si="39"/>
        <v>0.39393939393974453</v>
      </c>
      <c r="U41">
        <v>3.1636278557054598</v>
      </c>
      <c r="V41">
        <v>194222.57213905899</v>
      </c>
      <c r="W41">
        <f t="shared" si="29"/>
        <v>3.9392845018719385</v>
      </c>
      <c r="X41">
        <f t="shared" si="30"/>
        <v>0.60606060605859979</v>
      </c>
      <c r="Y41">
        <v>2.95318603515625</v>
      </c>
      <c r="Z41">
        <v>230227.97086515499</v>
      </c>
      <c r="AA41">
        <f t="shared" si="31"/>
        <v>3.9392845018097233</v>
      </c>
      <c r="AB41">
        <f t="shared" si="32"/>
        <v>0.39393939393764071</v>
      </c>
      <c r="AC41">
        <v>3.16462661280783</v>
      </c>
      <c r="AD41">
        <v>266231.39817425399</v>
      </c>
      <c r="AE41">
        <f t="shared" si="33"/>
        <v>3.9392845018149956</v>
      </c>
      <c r="AF41">
        <f t="shared" si="34"/>
        <v>0.60606060606205148</v>
      </c>
      <c r="AG41">
        <v>2.9541015625</v>
      </c>
      <c r="AH41">
        <v>302236.98390335002</v>
      </c>
      <c r="AI41">
        <f t="shared" si="35"/>
        <v>3.9392845018305565</v>
      </c>
      <c r="AJ41">
        <f t="shared" si="36"/>
        <v>0.39393939393890337</v>
      </c>
      <c r="AK41">
        <v>3.1654126716384101</v>
      </c>
      <c r="AL41">
        <v>338240.44321245002</v>
      </c>
      <c r="AM41">
        <f t="shared" si="37"/>
        <v>3.9392845018250142</v>
      </c>
      <c r="AN41">
        <f t="shared" si="38"/>
        <v>0.60606060606143197</v>
      </c>
      <c r="AO41">
        <v>2.9534912109375</v>
      </c>
      <c r="AP41">
        <v>4.1607518051609604</v>
      </c>
    </row>
    <row r="42" spans="1:42" x14ac:dyDescent="0.2">
      <c r="A42" s="3">
        <v>40</v>
      </c>
      <c r="B42">
        <v>14565.3169352766</v>
      </c>
      <c r="C42">
        <v>3.1613313308870099</v>
      </c>
      <c r="D42">
        <f t="shared" si="20"/>
        <v>4.0459213709101665</v>
      </c>
      <c r="E42">
        <f t="shared" si="21"/>
        <v>0.40437572445832248</v>
      </c>
      <c r="F42">
        <v>50569.012334375999</v>
      </c>
      <c r="G42">
        <f t="shared" si="22"/>
        <v>4.0402917967600001</v>
      </c>
      <c r="H42">
        <f t="shared" si="23"/>
        <v>0.59595959595946013</v>
      </c>
      <c r="I42">
        <v>2.94952392578125</v>
      </c>
      <c r="J42">
        <v>86574.046066472307</v>
      </c>
      <c r="K42">
        <f t="shared" si="24"/>
        <v>4.0402917967756409</v>
      </c>
      <c r="L42">
        <f t="shared" si="25"/>
        <v>0.4040404040414699</v>
      </c>
      <c r="M42">
        <v>3.1600489760888402</v>
      </c>
      <c r="N42">
        <v>122577.42737357201</v>
      </c>
      <c r="O42">
        <f t="shared" si="26"/>
        <v>4.0402917967477769</v>
      </c>
      <c r="P42">
        <f t="shared" si="27"/>
        <v>0.59595959596019421</v>
      </c>
      <c r="Q42">
        <v>2.95196533203125</v>
      </c>
      <c r="R42">
        <v>158582.80709266799</v>
      </c>
      <c r="S42">
        <f t="shared" si="28"/>
        <v>4.0402917967633343</v>
      </c>
      <c r="T42">
        <f t="shared" si="39"/>
        <v>0.40404040404074421</v>
      </c>
      <c r="U42">
        <v>3.1640316741633501</v>
      </c>
      <c r="V42">
        <v>194586.19840076799</v>
      </c>
      <c r="W42">
        <f t="shared" si="29"/>
        <v>4.0402917967911023</v>
      </c>
      <c r="X42">
        <f t="shared" si="30"/>
        <v>0.59595959595760117</v>
      </c>
      <c r="Y42">
        <v>2.9522705078125</v>
      </c>
      <c r="Z42">
        <v>230591.59712686299</v>
      </c>
      <c r="AA42">
        <f t="shared" si="31"/>
        <v>4.0402917967286101</v>
      </c>
      <c r="AB42">
        <f t="shared" si="32"/>
        <v>0.40404040403867469</v>
      </c>
      <c r="AC42">
        <v>3.1646882644808199</v>
      </c>
      <c r="AD42">
        <v>266595.02443596302</v>
      </c>
      <c r="AE42">
        <f t="shared" si="33"/>
        <v>4.0402917967341807</v>
      </c>
      <c r="AF42">
        <f t="shared" si="34"/>
        <v>0.59595959596099335</v>
      </c>
      <c r="AG42">
        <v>2.9534912109375</v>
      </c>
      <c r="AH42">
        <v>302600.61016505799</v>
      </c>
      <c r="AI42">
        <f t="shared" si="35"/>
        <v>4.0402917967494432</v>
      </c>
      <c r="AJ42">
        <f t="shared" si="36"/>
        <v>0.40404040403991631</v>
      </c>
      <c r="AK42">
        <v>3.1647190903174902</v>
      </c>
      <c r="AL42">
        <v>338604.06947415799</v>
      </c>
      <c r="AM42">
        <f t="shared" si="37"/>
        <v>4.0402917967438867</v>
      </c>
      <c r="AN42">
        <f t="shared" si="38"/>
        <v>0.59595959596041481</v>
      </c>
      <c r="AO42">
        <v>2.95257568359375</v>
      </c>
      <c r="AP42">
        <v>4.1613313308870099</v>
      </c>
    </row>
    <row r="43" spans="1:42" x14ac:dyDescent="0.2">
      <c r="A43" s="3">
        <v>41</v>
      </c>
      <c r="B43">
        <v>14928.943196984799</v>
      </c>
      <c r="C43">
        <v>3.1620249122080102</v>
      </c>
      <c r="D43">
        <f t="shared" si="20"/>
        <v>4.1469286658291109</v>
      </c>
      <c r="E43">
        <f t="shared" si="21"/>
        <v>0.41447105116241884</v>
      </c>
      <c r="F43">
        <v>50932.638596084202</v>
      </c>
      <c r="G43">
        <f t="shared" si="22"/>
        <v>4.1412990916789454</v>
      </c>
      <c r="H43">
        <f t="shared" si="23"/>
        <v>0.58585858585845219</v>
      </c>
      <c r="I43">
        <v>2.9486083984375</v>
      </c>
      <c r="J43">
        <v>86937.672328180503</v>
      </c>
      <c r="K43">
        <f t="shared" si="24"/>
        <v>4.1412990916945844</v>
      </c>
      <c r="L43">
        <f t="shared" si="25"/>
        <v>0.41414141414246192</v>
      </c>
      <c r="M43">
        <v>3.1593769728534302</v>
      </c>
      <c r="N43">
        <v>122941.05363528</v>
      </c>
      <c r="O43">
        <f t="shared" si="26"/>
        <v>4.1412990916666637</v>
      </c>
      <c r="P43">
        <f t="shared" si="27"/>
        <v>0.58585858585917983</v>
      </c>
      <c r="Q43">
        <v>2.9510498046875</v>
      </c>
      <c r="R43">
        <v>158946.433354376</v>
      </c>
      <c r="S43">
        <f t="shared" si="28"/>
        <v>4.141299091682221</v>
      </c>
      <c r="T43">
        <f t="shared" si="39"/>
        <v>0.41414141414174316</v>
      </c>
      <c r="U43">
        <v>3.16365868154202</v>
      </c>
      <c r="V43">
        <v>194949.82466247599</v>
      </c>
      <c r="W43">
        <f t="shared" si="29"/>
        <v>4.1412990917099961</v>
      </c>
      <c r="X43">
        <f t="shared" si="30"/>
        <v>0.58585858585662964</v>
      </c>
      <c r="Y43">
        <v>2.95166015625</v>
      </c>
      <c r="Z43">
        <v>230955.223388571</v>
      </c>
      <c r="AA43">
        <f t="shared" si="31"/>
        <v>4.1412990916474968</v>
      </c>
      <c r="AB43">
        <f t="shared" si="32"/>
        <v>0.41414141413970873</v>
      </c>
      <c r="AC43">
        <v>3.16568702158298</v>
      </c>
      <c r="AD43">
        <v>266958.65069767099</v>
      </c>
      <c r="AE43">
        <f t="shared" si="33"/>
        <v>4.1412990916530532</v>
      </c>
      <c r="AF43">
        <f t="shared" si="34"/>
        <v>0.58585858585996631</v>
      </c>
      <c r="AG43">
        <v>2.95257568359375</v>
      </c>
      <c r="AH43">
        <v>302964.23642676597</v>
      </c>
      <c r="AI43">
        <f t="shared" si="35"/>
        <v>4.1412990916683299</v>
      </c>
      <c r="AJ43">
        <f t="shared" si="36"/>
        <v>0.41414141414092931</v>
      </c>
      <c r="AK43">
        <v>3.1660014451152998</v>
      </c>
      <c r="AL43">
        <v>338967.69573586597</v>
      </c>
      <c r="AM43">
        <f t="shared" si="37"/>
        <v>4.1412990916627734</v>
      </c>
      <c r="AN43">
        <f t="shared" si="38"/>
        <v>0.58585858585939632</v>
      </c>
      <c r="AO43">
        <v>2.95196533203125</v>
      </c>
      <c r="AP43">
        <v>4.1620249122080102</v>
      </c>
    </row>
    <row r="44" spans="1:42" x14ac:dyDescent="0.2">
      <c r="A44" s="3">
        <v>42</v>
      </c>
      <c r="B44">
        <v>15292.569458693</v>
      </c>
      <c r="C44">
        <v>3.1626290986032299</v>
      </c>
      <c r="D44">
        <f t="shared" si="20"/>
        <v>4.2479359607480554</v>
      </c>
      <c r="E44">
        <f t="shared" si="21"/>
        <v>0.42456637786651519</v>
      </c>
      <c r="F44">
        <v>51296.264857792397</v>
      </c>
      <c r="G44">
        <f t="shared" si="22"/>
        <v>4.2423063865978872</v>
      </c>
      <c r="H44">
        <f t="shared" si="23"/>
        <v>0.57575757575744446</v>
      </c>
      <c r="I44">
        <v>2.947998046875</v>
      </c>
      <c r="J44">
        <v>87301.298589888698</v>
      </c>
      <c r="K44">
        <f t="shared" si="24"/>
        <v>4.242306386613528</v>
      </c>
      <c r="L44">
        <f t="shared" si="25"/>
        <v>0.42424242424345388</v>
      </c>
      <c r="M44">
        <v>3.1607980439157801</v>
      </c>
      <c r="N44">
        <v>123304.679896988</v>
      </c>
      <c r="O44">
        <f t="shared" si="26"/>
        <v>4.2423063865855575</v>
      </c>
      <c r="P44">
        <f t="shared" si="27"/>
        <v>0.57575757575816477</v>
      </c>
      <c r="Q44">
        <v>2.95013427734375</v>
      </c>
      <c r="R44">
        <v>159310.05961608401</v>
      </c>
      <c r="S44">
        <f t="shared" si="28"/>
        <v>4.2423063866011148</v>
      </c>
      <c r="T44">
        <f t="shared" si="39"/>
        <v>0.42424242424274278</v>
      </c>
      <c r="U44">
        <v>3.16412723425658</v>
      </c>
      <c r="V44">
        <v>195313.450924184</v>
      </c>
      <c r="W44">
        <f t="shared" si="29"/>
        <v>4.2423063866288828</v>
      </c>
      <c r="X44">
        <f t="shared" si="30"/>
        <v>0.57575757575565878</v>
      </c>
      <c r="Y44">
        <v>2.95074462890625</v>
      </c>
      <c r="Z44">
        <v>231318.84965027901</v>
      </c>
      <c r="AA44">
        <f t="shared" si="31"/>
        <v>4.2423063865663977</v>
      </c>
      <c r="AB44">
        <f t="shared" si="32"/>
        <v>0.42424242424074415</v>
      </c>
      <c r="AC44">
        <v>3.16537568063446</v>
      </c>
      <c r="AD44">
        <v>267322.27695937903</v>
      </c>
      <c r="AE44">
        <f t="shared" si="33"/>
        <v>4.2423063865719541</v>
      </c>
      <c r="AF44">
        <f t="shared" si="34"/>
        <v>0.57575757575893649</v>
      </c>
      <c r="AG44">
        <v>2.95196533203125</v>
      </c>
      <c r="AH44">
        <v>303327.86268847401</v>
      </c>
      <c r="AI44">
        <f t="shared" si="35"/>
        <v>4.2423063865872308</v>
      </c>
      <c r="AJ44">
        <f t="shared" si="36"/>
        <v>0.42424242424194369</v>
      </c>
      <c r="AK44">
        <v>3.16619873046875</v>
      </c>
      <c r="AL44">
        <v>339331.32199757401</v>
      </c>
      <c r="AM44">
        <f t="shared" si="37"/>
        <v>4.2423063865816744</v>
      </c>
      <c r="AN44">
        <f t="shared" si="38"/>
        <v>0.57575757575837616</v>
      </c>
      <c r="AO44">
        <v>2.9510498046875</v>
      </c>
      <c r="AP44">
        <v>4.1626290986032304</v>
      </c>
    </row>
    <row r="45" spans="1:42" x14ac:dyDescent="0.2">
      <c r="A45" s="3">
        <v>43</v>
      </c>
      <c r="B45">
        <v>15656.1957204012</v>
      </c>
      <c r="C45">
        <v>3.1628633749605402</v>
      </c>
      <c r="D45">
        <f t="shared" si="20"/>
        <v>4.3489432556669998</v>
      </c>
      <c r="E45">
        <f t="shared" si="21"/>
        <v>0.4346617045706116</v>
      </c>
      <c r="F45">
        <v>51659.8911195006</v>
      </c>
      <c r="G45">
        <f t="shared" si="22"/>
        <v>4.3433136815168325</v>
      </c>
      <c r="H45">
        <f t="shared" si="23"/>
        <v>0.56565656565643652</v>
      </c>
      <c r="I45">
        <v>2.9473876953125</v>
      </c>
      <c r="J45">
        <v>87664.924851596894</v>
      </c>
      <c r="K45">
        <f t="shared" si="24"/>
        <v>4.3433136815324715</v>
      </c>
      <c r="L45">
        <f t="shared" si="25"/>
        <v>0.43434343434444589</v>
      </c>
      <c r="M45">
        <v>3.1607271444917302</v>
      </c>
      <c r="N45">
        <v>123668.306158697</v>
      </c>
      <c r="O45">
        <f t="shared" si="26"/>
        <v>4.3433136815047213</v>
      </c>
      <c r="P45">
        <f t="shared" si="27"/>
        <v>0.56565656565712263</v>
      </c>
      <c r="Q45">
        <v>2.94952392578125</v>
      </c>
      <c r="R45">
        <v>159673.68587779201</v>
      </c>
      <c r="S45">
        <f t="shared" si="28"/>
        <v>4.3433136815200086</v>
      </c>
      <c r="T45">
        <f t="shared" si="39"/>
        <v>0.43434343434374245</v>
      </c>
      <c r="U45">
        <v>3.1644108319524502</v>
      </c>
      <c r="V45">
        <v>195677.07718589201</v>
      </c>
      <c r="W45">
        <f t="shared" si="29"/>
        <v>4.3433136815477766</v>
      </c>
      <c r="X45">
        <f t="shared" si="30"/>
        <v>0.56565656565468703</v>
      </c>
      <c r="Y45">
        <v>2.9498291015625</v>
      </c>
      <c r="Z45">
        <v>231682.47591198701</v>
      </c>
      <c r="AA45">
        <f t="shared" si="31"/>
        <v>4.3433136814852844</v>
      </c>
      <c r="AB45">
        <f t="shared" si="32"/>
        <v>0.43434343434177819</v>
      </c>
      <c r="AC45">
        <v>3.1658719766018999</v>
      </c>
      <c r="AD45">
        <v>267685.90322108701</v>
      </c>
      <c r="AE45">
        <f t="shared" si="33"/>
        <v>4.3433136814908408</v>
      </c>
      <c r="AF45">
        <f t="shared" si="34"/>
        <v>0.56565656565790812</v>
      </c>
      <c r="AG45">
        <v>2.9510498046875</v>
      </c>
      <c r="AH45">
        <v>303691.48895018199</v>
      </c>
      <c r="AI45">
        <f t="shared" si="35"/>
        <v>4.3433136815061033</v>
      </c>
      <c r="AJ45">
        <f t="shared" si="36"/>
        <v>0.43434343434295525</v>
      </c>
      <c r="AK45">
        <v>3.1664823281644199</v>
      </c>
      <c r="AL45">
        <v>339694.94825928198</v>
      </c>
      <c r="AM45">
        <f t="shared" si="37"/>
        <v>4.3433136815005611</v>
      </c>
      <c r="AN45">
        <f t="shared" si="38"/>
        <v>0.56565656565735767</v>
      </c>
      <c r="AO45">
        <v>2.95013427734375</v>
      </c>
      <c r="AP45">
        <v>4.1628633749605397</v>
      </c>
    </row>
    <row r="46" spans="1:42" x14ac:dyDescent="0.2">
      <c r="A46" s="3">
        <v>44</v>
      </c>
      <c r="B46">
        <v>16019.821982109401</v>
      </c>
      <c r="C46">
        <v>3.16331651475695</v>
      </c>
      <c r="D46">
        <f t="shared" si="20"/>
        <v>4.4499505505859442</v>
      </c>
      <c r="E46">
        <f t="shared" si="21"/>
        <v>0.44475703127470795</v>
      </c>
      <c r="F46">
        <v>52023.517381208803</v>
      </c>
      <c r="G46">
        <f t="shared" si="22"/>
        <v>4.4443209764357778</v>
      </c>
      <c r="H46">
        <f t="shared" si="23"/>
        <v>0.55555555555542835</v>
      </c>
      <c r="I46">
        <v>2.94647216796875</v>
      </c>
      <c r="J46">
        <v>88028.551113305104</v>
      </c>
      <c r="K46">
        <f t="shared" si="24"/>
        <v>4.4443209764514187</v>
      </c>
      <c r="L46">
        <f t="shared" si="25"/>
        <v>0.44444444444543824</v>
      </c>
      <c r="M46">
        <v>3.1612820095484602</v>
      </c>
      <c r="N46">
        <v>124031.93242040501</v>
      </c>
      <c r="O46">
        <f t="shared" si="26"/>
        <v>4.4443209764236151</v>
      </c>
      <c r="P46">
        <f t="shared" si="27"/>
        <v>0.55555555555610758</v>
      </c>
      <c r="Q46">
        <v>2.9486083984375</v>
      </c>
      <c r="R46">
        <v>160037.31213949999</v>
      </c>
      <c r="S46">
        <f t="shared" si="28"/>
        <v>4.4443209764388882</v>
      </c>
      <c r="T46">
        <f t="shared" si="39"/>
        <v>0.44444444444474068</v>
      </c>
      <c r="U46">
        <v>3.1645711263020702</v>
      </c>
      <c r="V46">
        <v>196040.70344760001</v>
      </c>
      <c r="W46">
        <f t="shared" si="29"/>
        <v>4.4443209764666705</v>
      </c>
      <c r="X46">
        <f t="shared" si="30"/>
        <v>0.5555555555537155</v>
      </c>
      <c r="Y46">
        <v>2.94891357421875</v>
      </c>
      <c r="Z46">
        <v>232046.10217369499</v>
      </c>
      <c r="AA46">
        <f t="shared" si="31"/>
        <v>4.4443209764041711</v>
      </c>
      <c r="AB46">
        <f t="shared" si="32"/>
        <v>0.44444444444281223</v>
      </c>
      <c r="AC46">
        <v>3.1660291883680598</v>
      </c>
      <c r="AD46">
        <v>268049.52948279498</v>
      </c>
      <c r="AE46">
        <f t="shared" si="33"/>
        <v>4.4443209764097276</v>
      </c>
      <c r="AF46">
        <f t="shared" si="34"/>
        <v>0.55555555555687974</v>
      </c>
      <c r="AG46">
        <v>2.95013427734375</v>
      </c>
      <c r="AH46">
        <v>304055.11521189002</v>
      </c>
      <c r="AI46">
        <f t="shared" si="35"/>
        <v>4.4443209764250042</v>
      </c>
      <c r="AJ46">
        <f t="shared" si="36"/>
        <v>0.44444444444396963</v>
      </c>
      <c r="AK46">
        <v>3.1663682725696098</v>
      </c>
      <c r="AL46">
        <v>340058.57452099002</v>
      </c>
      <c r="AM46">
        <f t="shared" si="37"/>
        <v>4.4443209764194478</v>
      </c>
      <c r="AN46">
        <f t="shared" si="38"/>
        <v>0.55555555555633906</v>
      </c>
      <c r="AO46">
        <v>2.94921875</v>
      </c>
      <c r="AP46">
        <v>4.16331651475695</v>
      </c>
    </row>
    <row r="47" spans="1:42" x14ac:dyDescent="0.2">
      <c r="A47" s="3">
        <v>45</v>
      </c>
      <c r="B47">
        <v>16383.4482438176</v>
      </c>
      <c r="C47">
        <v>3.1640625</v>
      </c>
      <c r="D47">
        <f t="shared" si="20"/>
        <v>4.5509578455048887</v>
      </c>
      <c r="E47">
        <f t="shared" si="21"/>
        <v>0.4548523579788043</v>
      </c>
      <c r="F47">
        <v>52387.143642916999</v>
      </c>
      <c r="G47">
        <f t="shared" si="22"/>
        <v>4.5453282713547214</v>
      </c>
      <c r="H47">
        <f t="shared" si="23"/>
        <v>0.54545454545442063</v>
      </c>
      <c r="I47">
        <v>2.94586181640625</v>
      </c>
      <c r="J47">
        <v>88392.1773750133</v>
      </c>
      <c r="K47">
        <f t="shared" si="24"/>
        <v>4.5453282713703622</v>
      </c>
      <c r="L47">
        <f t="shared" si="25"/>
        <v>0.45454545454643025</v>
      </c>
      <c r="M47">
        <v>3.1613714044745</v>
      </c>
      <c r="N47">
        <v>124395.558682113</v>
      </c>
      <c r="O47">
        <f t="shared" si="26"/>
        <v>4.5453282713425018</v>
      </c>
      <c r="P47">
        <f t="shared" si="27"/>
        <v>0.5454545454550932</v>
      </c>
      <c r="Q47">
        <v>2.94769287109375</v>
      </c>
      <c r="R47">
        <v>160400.93840120899</v>
      </c>
      <c r="S47">
        <f t="shared" si="28"/>
        <v>4.5453282713580521</v>
      </c>
      <c r="T47">
        <f t="shared" si="39"/>
        <v>0.45454545454576734</v>
      </c>
      <c r="U47">
        <v>3.1652277166192602</v>
      </c>
      <c r="V47">
        <v>196404.32970930901</v>
      </c>
      <c r="W47">
        <f t="shared" si="29"/>
        <v>4.5453282713858343</v>
      </c>
      <c r="X47">
        <f t="shared" si="30"/>
        <v>0.54545454545271688</v>
      </c>
      <c r="Y47">
        <v>2.947998046875</v>
      </c>
      <c r="Z47">
        <v>232409.72843540399</v>
      </c>
      <c r="AA47">
        <f t="shared" si="31"/>
        <v>4.5453282713233278</v>
      </c>
      <c r="AB47">
        <f t="shared" si="32"/>
        <v>0.45454545454387324</v>
      </c>
      <c r="AC47">
        <v>3.16619873046875</v>
      </c>
      <c r="AD47">
        <v>268413.15574450401</v>
      </c>
      <c r="AE47">
        <f t="shared" si="33"/>
        <v>4.5453282713288985</v>
      </c>
      <c r="AF47">
        <f t="shared" si="34"/>
        <v>0.54545454545582284</v>
      </c>
      <c r="AG47">
        <v>2.94921875</v>
      </c>
      <c r="AH47">
        <v>304418.74147359899</v>
      </c>
      <c r="AI47">
        <f t="shared" si="35"/>
        <v>4.545328271344161</v>
      </c>
      <c r="AJ47">
        <f t="shared" si="36"/>
        <v>0.45454545454500961</v>
      </c>
      <c r="AK47">
        <v>3.1665593927557998</v>
      </c>
      <c r="AL47">
        <v>340422.20078269899</v>
      </c>
      <c r="AM47">
        <f t="shared" si="37"/>
        <v>4.5453282713386045</v>
      </c>
      <c r="AN47">
        <f t="shared" si="38"/>
        <v>0.54545454545529348</v>
      </c>
      <c r="AO47">
        <v>2.9486083984375</v>
      </c>
      <c r="AP47">
        <v>4.1640625</v>
      </c>
    </row>
    <row r="48" spans="1:42" x14ac:dyDescent="0.2">
      <c r="A48" s="3">
        <v>46</v>
      </c>
      <c r="B48">
        <v>16747.074505525801</v>
      </c>
      <c r="C48">
        <v>3.1646728515625</v>
      </c>
      <c r="D48">
        <f t="shared" si="20"/>
        <v>4.651965140423834</v>
      </c>
      <c r="E48">
        <f t="shared" si="21"/>
        <v>0.46494768468290076</v>
      </c>
      <c r="F48">
        <v>52750.769904625202</v>
      </c>
      <c r="G48">
        <f t="shared" si="22"/>
        <v>4.6463355662736667</v>
      </c>
      <c r="H48">
        <f t="shared" si="23"/>
        <v>0.53535353535341257</v>
      </c>
      <c r="I48">
        <v>2.94525146484375</v>
      </c>
      <c r="J48">
        <v>88755.803636721495</v>
      </c>
      <c r="K48">
        <f t="shared" si="24"/>
        <v>4.6463355662893022</v>
      </c>
      <c r="L48">
        <f t="shared" si="25"/>
        <v>0.46464646464742188</v>
      </c>
      <c r="M48">
        <v>3.1624194829152099</v>
      </c>
      <c r="N48">
        <v>124759.184943821</v>
      </c>
      <c r="O48">
        <f t="shared" si="26"/>
        <v>4.6463355662613885</v>
      </c>
      <c r="P48">
        <f t="shared" si="27"/>
        <v>0.53535353535407881</v>
      </c>
      <c r="Q48">
        <v>2.94677734375</v>
      </c>
      <c r="R48">
        <v>160764.56466291699</v>
      </c>
      <c r="S48">
        <f t="shared" si="28"/>
        <v>4.6463355662769459</v>
      </c>
      <c r="T48">
        <f t="shared" si="39"/>
        <v>0.46464646464676695</v>
      </c>
      <c r="U48">
        <v>3.1652246340357202</v>
      </c>
      <c r="V48">
        <v>196767.95597101701</v>
      </c>
      <c r="W48">
        <f t="shared" si="29"/>
        <v>4.646335566304721</v>
      </c>
      <c r="X48">
        <f t="shared" si="30"/>
        <v>0.53535353535174601</v>
      </c>
      <c r="Y48">
        <v>2.94708251953125</v>
      </c>
      <c r="Z48">
        <v>232773.35469711199</v>
      </c>
      <c r="AA48">
        <f t="shared" si="31"/>
        <v>4.6463355662422288</v>
      </c>
      <c r="AB48">
        <f t="shared" si="32"/>
        <v>0.46464646464490866</v>
      </c>
      <c r="AC48">
        <v>3.1667505129419702</v>
      </c>
      <c r="AD48">
        <v>268776.78200621199</v>
      </c>
      <c r="AE48">
        <f t="shared" si="33"/>
        <v>4.646335566247771</v>
      </c>
      <c r="AF48">
        <f t="shared" si="34"/>
        <v>0.53535353535479602</v>
      </c>
      <c r="AG48">
        <v>2.94830322265625</v>
      </c>
      <c r="AH48">
        <v>304782.36773530702</v>
      </c>
      <c r="AI48">
        <f t="shared" si="35"/>
        <v>4.6463355662630619</v>
      </c>
      <c r="AJ48">
        <f t="shared" si="36"/>
        <v>0.46464646464602399</v>
      </c>
      <c r="AK48">
        <v>3.16680908203125</v>
      </c>
      <c r="AL48">
        <v>340785.82704440702</v>
      </c>
      <c r="AM48">
        <f t="shared" si="37"/>
        <v>4.6463355662575054</v>
      </c>
      <c r="AN48">
        <f t="shared" si="38"/>
        <v>0.53535353535427355</v>
      </c>
      <c r="AO48">
        <v>2.94769287109375</v>
      </c>
      <c r="AP48">
        <v>4.1646728515625</v>
      </c>
    </row>
    <row r="49" spans="1:42" x14ac:dyDescent="0.2">
      <c r="A49" s="3">
        <v>47</v>
      </c>
      <c r="B49">
        <v>17110.700767234001</v>
      </c>
      <c r="C49">
        <v>3.1648454762468399</v>
      </c>
      <c r="D49">
        <f t="shared" si="20"/>
        <v>4.7529724353427776</v>
      </c>
      <c r="E49">
        <f t="shared" si="21"/>
        <v>0.47504301138699706</v>
      </c>
      <c r="F49">
        <v>53114.396166333398</v>
      </c>
      <c r="G49">
        <f t="shared" si="22"/>
        <v>4.7473428611926103</v>
      </c>
      <c r="H49">
        <f t="shared" si="23"/>
        <v>0.52525252525240473</v>
      </c>
      <c r="I49">
        <v>2.9443359375</v>
      </c>
      <c r="J49">
        <v>89119.429898429706</v>
      </c>
      <c r="K49">
        <f t="shared" si="24"/>
        <v>4.7473428612082529</v>
      </c>
      <c r="L49">
        <f t="shared" si="25"/>
        <v>0.47474747474841461</v>
      </c>
      <c r="M49">
        <v>3.1628818704622899</v>
      </c>
      <c r="N49">
        <v>125122.811205529</v>
      </c>
      <c r="O49">
        <f t="shared" si="26"/>
        <v>4.7473428611802753</v>
      </c>
      <c r="P49">
        <f t="shared" si="27"/>
        <v>0.52525252525306443</v>
      </c>
      <c r="Q49">
        <v>2.94586181640625</v>
      </c>
      <c r="R49">
        <v>161128.190924625</v>
      </c>
      <c r="S49">
        <f t="shared" si="28"/>
        <v>4.7473428611958326</v>
      </c>
      <c r="T49">
        <f t="shared" si="39"/>
        <v>0.47474747474776591</v>
      </c>
      <c r="U49">
        <v>3.1654558278093399</v>
      </c>
      <c r="V49">
        <v>197131.58223272499</v>
      </c>
      <c r="W49">
        <f t="shared" si="29"/>
        <v>4.7473428612236077</v>
      </c>
      <c r="X49">
        <f t="shared" si="30"/>
        <v>0.52525252525077515</v>
      </c>
      <c r="Y49">
        <v>2.9461669921875</v>
      </c>
      <c r="Z49">
        <v>233136.98095882</v>
      </c>
      <c r="AA49">
        <f t="shared" si="31"/>
        <v>4.7473428611611155</v>
      </c>
      <c r="AB49">
        <f t="shared" si="32"/>
        <v>0.4747474747459427</v>
      </c>
      <c r="AC49">
        <v>3.16707418422506</v>
      </c>
      <c r="AD49">
        <v>269140.40826792002</v>
      </c>
      <c r="AE49">
        <f t="shared" si="33"/>
        <v>4.7473428611666719</v>
      </c>
      <c r="AF49">
        <f t="shared" si="34"/>
        <v>0.52525252525376609</v>
      </c>
      <c r="AG49">
        <v>2.9473876953125</v>
      </c>
      <c r="AH49">
        <v>305145.993997015</v>
      </c>
      <c r="AI49">
        <f t="shared" si="35"/>
        <v>4.7473428611819486</v>
      </c>
      <c r="AJ49">
        <f t="shared" si="36"/>
        <v>0.47474747474703699</v>
      </c>
      <c r="AK49">
        <v>3.1678571604718901</v>
      </c>
      <c r="AL49">
        <v>341149.453306115</v>
      </c>
      <c r="AM49">
        <f t="shared" si="37"/>
        <v>4.7473428611763921</v>
      </c>
      <c r="AN49">
        <f t="shared" si="38"/>
        <v>0.52525252525325494</v>
      </c>
      <c r="AO49">
        <v>2.94677734375</v>
      </c>
      <c r="AP49">
        <v>4.1648454762468399</v>
      </c>
    </row>
    <row r="50" spans="1:42" x14ac:dyDescent="0.2">
      <c r="A50" s="3">
        <v>48</v>
      </c>
      <c r="B50">
        <v>17474.3270289422</v>
      </c>
      <c r="C50">
        <v>3.1650335138494499</v>
      </c>
      <c r="D50">
        <f t="shared" si="20"/>
        <v>4.853979730261722</v>
      </c>
      <c r="E50">
        <f t="shared" si="21"/>
        <v>0.48513833809109341</v>
      </c>
      <c r="F50">
        <v>53478.022428041601</v>
      </c>
      <c r="G50">
        <f t="shared" si="22"/>
        <v>4.8483501561115556</v>
      </c>
      <c r="H50">
        <f t="shared" si="23"/>
        <v>0.51515151515139668</v>
      </c>
      <c r="I50">
        <v>2.9437255859375</v>
      </c>
      <c r="J50">
        <v>89483.056160137901</v>
      </c>
      <c r="K50">
        <f t="shared" si="24"/>
        <v>4.8483501561271929</v>
      </c>
      <c r="L50">
        <f t="shared" si="25"/>
        <v>0.48484848484940624</v>
      </c>
      <c r="M50">
        <v>3.16289728338087</v>
      </c>
      <c r="N50">
        <v>125486.43746723801</v>
      </c>
      <c r="O50">
        <f t="shared" si="26"/>
        <v>4.8483501560994462</v>
      </c>
      <c r="P50">
        <f t="shared" si="27"/>
        <v>0.51515151515202162</v>
      </c>
      <c r="Q50">
        <v>2.9449462890625</v>
      </c>
      <c r="R50">
        <v>161491.81718633301</v>
      </c>
      <c r="S50">
        <f t="shared" si="28"/>
        <v>4.8483501561147264</v>
      </c>
      <c r="T50">
        <f t="shared" si="39"/>
        <v>0.48484848484876558</v>
      </c>
      <c r="U50">
        <v>3.1661617394651</v>
      </c>
      <c r="V50">
        <v>197495.208494433</v>
      </c>
      <c r="W50">
        <f t="shared" si="29"/>
        <v>4.8483501561424944</v>
      </c>
      <c r="X50">
        <f t="shared" si="30"/>
        <v>0.51515151514980428</v>
      </c>
      <c r="Y50">
        <v>2.94525146484375</v>
      </c>
      <c r="Z50">
        <v>233500.60722052801</v>
      </c>
      <c r="AA50">
        <f t="shared" si="31"/>
        <v>4.8483501560800022</v>
      </c>
      <c r="AB50">
        <f t="shared" si="32"/>
        <v>0.48484848484697668</v>
      </c>
      <c r="AC50">
        <v>3.16707726680885</v>
      </c>
      <c r="AD50">
        <v>269504.034529628</v>
      </c>
      <c r="AE50">
        <f t="shared" si="33"/>
        <v>4.8483501560855586</v>
      </c>
      <c r="AF50">
        <f t="shared" si="34"/>
        <v>0.51515151515273772</v>
      </c>
      <c r="AG50">
        <v>2.94647216796875</v>
      </c>
      <c r="AH50">
        <v>305509.62025872298</v>
      </c>
      <c r="AI50">
        <f t="shared" si="35"/>
        <v>4.8483501561008211</v>
      </c>
      <c r="AJ50">
        <f t="shared" si="36"/>
        <v>0.48484848484804854</v>
      </c>
      <c r="AK50">
        <v>3.167724609375</v>
      </c>
      <c r="AL50">
        <v>341513.07956782298</v>
      </c>
      <c r="AM50">
        <f t="shared" si="37"/>
        <v>4.8483501560952789</v>
      </c>
      <c r="AN50">
        <f t="shared" si="38"/>
        <v>0.51515151515223634</v>
      </c>
      <c r="AO50">
        <v>2.94586181640625</v>
      </c>
      <c r="AP50">
        <v>4.1650335138494503</v>
      </c>
    </row>
    <row r="51" spans="1:42" x14ac:dyDescent="0.2">
      <c r="A51" s="3">
        <v>49</v>
      </c>
      <c r="B51">
        <v>17837.953290650399</v>
      </c>
      <c r="C51">
        <v>3.1658935546875</v>
      </c>
      <c r="D51">
        <f t="shared" si="20"/>
        <v>4.9549870251806665</v>
      </c>
      <c r="E51">
        <f t="shared" si="21"/>
        <v>0.49523366479518982</v>
      </c>
      <c r="F51">
        <v>53841.648689749803</v>
      </c>
      <c r="G51">
        <f t="shared" si="22"/>
        <v>4.949357451030501</v>
      </c>
      <c r="H51">
        <f t="shared" si="23"/>
        <v>0.50505050505038862</v>
      </c>
      <c r="I51">
        <v>2.94281005859375</v>
      </c>
      <c r="J51">
        <v>89846.682421846097</v>
      </c>
      <c r="K51">
        <f t="shared" si="24"/>
        <v>4.9493574510461364</v>
      </c>
      <c r="L51">
        <f t="shared" si="25"/>
        <v>0.49494949495039825</v>
      </c>
      <c r="M51">
        <v>3.1639669399069601</v>
      </c>
      <c r="N51">
        <v>125850.063728946</v>
      </c>
      <c r="O51">
        <f t="shared" si="26"/>
        <v>4.9493574510183329</v>
      </c>
      <c r="P51">
        <f t="shared" si="27"/>
        <v>0.50505050505100724</v>
      </c>
      <c r="Q51">
        <v>2.9441263218118401</v>
      </c>
      <c r="R51">
        <v>161855.44344804101</v>
      </c>
      <c r="S51">
        <f t="shared" si="28"/>
        <v>4.9493574510336131</v>
      </c>
      <c r="T51">
        <f t="shared" si="39"/>
        <v>0.49494949494976448</v>
      </c>
      <c r="U51">
        <v>3.1663127860636999</v>
      </c>
      <c r="V51">
        <v>197858.834756141</v>
      </c>
      <c r="W51">
        <f t="shared" si="29"/>
        <v>4.9493574510613882</v>
      </c>
      <c r="X51">
        <f t="shared" si="30"/>
        <v>0.50505050504883275</v>
      </c>
      <c r="Y51">
        <v>2.9443359375</v>
      </c>
      <c r="Z51">
        <v>233864.23348223601</v>
      </c>
      <c r="AA51">
        <f t="shared" si="31"/>
        <v>4.9493574509988889</v>
      </c>
      <c r="AB51">
        <f t="shared" si="32"/>
        <v>0.49494949494801072</v>
      </c>
      <c r="AC51">
        <v>3.16762904928185</v>
      </c>
      <c r="AD51">
        <v>269867.66079133598</v>
      </c>
      <c r="AE51">
        <f t="shared" si="33"/>
        <v>4.9493574510044454</v>
      </c>
      <c r="AF51">
        <f t="shared" si="34"/>
        <v>0.50505050505170934</v>
      </c>
      <c r="AG51">
        <v>2.945556640625</v>
      </c>
      <c r="AH51">
        <v>305873.24652043101</v>
      </c>
      <c r="AI51">
        <f t="shared" si="35"/>
        <v>4.949357451019722</v>
      </c>
      <c r="AJ51">
        <f t="shared" si="36"/>
        <v>0.49494949494906293</v>
      </c>
      <c r="AK51">
        <v>3.1678201694679302</v>
      </c>
      <c r="AL51">
        <v>341876.70582953101</v>
      </c>
      <c r="AM51">
        <f t="shared" si="37"/>
        <v>4.9493574510141798</v>
      </c>
      <c r="AN51">
        <f t="shared" si="38"/>
        <v>0.50505050505121629</v>
      </c>
      <c r="AO51">
        <v>2.9449462890625</v>
      </c>
      <c r="AP51">
        <v>4.1658935546875</v>
      </c>
    </row>
    <row r="52" spans="1:42" x14ac:dyDescent="0.2">
      <c r="A52" s="3">
        <v>50</v>
      </c>
      <c r="B52">
        <v>18201.579552358598</v>
      </c>
      <c r="C52">
        <v>3.1671327533143798</v>
      </c>
      <c r="D52">
        <f t="shared" si="20"/>
        <v>5.0559943200996109</v>
      </c>
      <c r="E52">
        <f t="shared" si="21"/>
        <v>0.50532899149928612</v>
      </c>
      <c r="F52">
        <v>54205.274951457999</v>
      </c>
      <c r="G52">
        <f t="shared" si="22"/>
        <v>5.0503647459494445</v>
      </c>
      <c r="H52">
        <f t="shared" si="23"/>
        <v>0.49494949494938079</v>
      </c>
      <c r="I52">
        <v>2.94219970703125</v>
      </c>
      <c r="J52">
        <v>90210.308683554307</v>
      </c>
      <c r="K52">
        <f t="shared" si="24"/>
        <v>5.0503647459650836</v>
      </c>
      <c r="L52">
        <f t="shared" si="25"/>
        <v>0.5050505050513906</v>
      </c>
      <c r="M52">
        <v>3.16436767578125</v>
      </c>
      <c r="N52">
        <v>126213.68999065401</v>
      </c>
      <c r="O52">
        <f t="shared" si="26"/>
        <v>5.0503647459372267</v>
      </c>
      <c r="P52">
        <f t="shared" si="27"/>
        <v>0.49494949494999219</v>
      </c>
      <c r="Q52">
        <v>2.9432107944680901</v>
      </c>
      <c r="R52">
        <v>162219.06970975001</v>
      </c>
      <c r="S52">
        <f t="shared" si="28"/>
        <v>5.0503647459527841</v>
      </c>
      <c r="T52">
        <f t="shared" si="39"/>
        <v>0.50505050505079185</v>
      </c>
      <c r="U52">
        <v>3.1670186977192598</v>
      </c>
      <c r="V52">
        <v>198222.46101785</v>
      </c>
      <c r="W52">
        <f t="shared" si="29"/>
        <v>5.0503647459805521</v>
      </c>
      <c r="X52">
        <f t="shared" si="30"/>
        <v>0.49494949494783402</v>
      </c>
      <c r="Y52">
        <v>2.94342041015625</v>
      </c>
      <c r="Z52">
        <v>234227.85974394501</v>
      </c>
      <c r="AA52">
        <f t="shared" si="31"/>
        <v>5.0503647459180598</v>
      </c>
      <c r="AB52">
        <f t="shared" si="32"/>
        <v>0.50505050504907312</v>
      </c>
      <c r="AC52">
        <v>3.1679342250631</v>
      </c>
      <c r="AD52">
        <v>270231.287053045</v>
      </c>
      <c r="AE52">
        <f t="shared" si="33"/>
        <v>5.0503647459236163</v>
      </c>
      <c r="AF52">
        <f t="shared" si="34"/>
        <v>0.49494949495065255</v>
      </c>
      <c r="AG52">
        <v>2.94464111328125</v>
      </c>
      <c r="AH52">
        <v>306236.87278213998</v>
      </c>
      <c r="AI52">
        <f t="shared" si="35"/>
        <v>5.0503647459388787</v>
      </c>
      <c r="AJ52">
        <f t="shared" si="36"/>
        <v>0.50505050505010285</v>
      </c>
      <c r="AK52">
        <v>3.16823940084427</v>
      </c>
      <c r="AL52">
        <v>342240.33209123998</v>
      </c>
      <c r="AM52">
        <f t="shared" si="37"/>
        <v>5.0503647459333365</v>
      </c>
      <c r="AN52">
        <f t="shared" si="38"/>
        <v>0.49494949495017071</v>
      </c>
      <c r="AO52">
        <v>2.94403076171875</v>
      </c>
      <c r="AP52">
        <v>4.1671327533143803</v>
      </c>
    </row>
    <row r="53" spans="1:42" x14ac:dyDescent="0.2">
      <c r="A53" s="3">
        <v>51</v>
      </c>
      <c r="B53">
        <v>18565.205814066801</v>
      </c>
      <c r="C53">
        <v>3.16740093809186</v>
      </c>
      <c r="D53">
        <f t="shared" si="20"/>
        <v>5.1570016150185563</v>
      </c>
      <c r="E53">
        <f t="shared" si="21"/>
        <v>0.51542431820338264</v>
      </c>
      <c r="F53">
        <v>54568.9012131661</v>
      </c>
      <c r="G53">
        <f t="shared" si="22"/>
        <v>5.1513720408683614</v>
      </c>
      <c r="H53">
        <f t="shared" si="23"/>
        <v>0.48484848484837562</v>
      </c>
      <c r="I53">
        <v>2.94157085996686</v>
      </c>
      <c r="J53">
        <v>90573.934945262401</v>
      </c>
      <c r="K53">
        <f t="shared" si="24"/>
        <v>5.1513720408839987</v>
      </c>
      <c r="L53">
        <f t="shared" si="25"/>
        <v>0.51515151515237978</v>
      </c>
      <c r="M53">
        <v>3.1643861712830499</v>
      </c>
      <c r="N53">
        <v>126577.316252362</v>
      </c>
      <c r="O53">
        <f t="shared" si="26"/>
        <v>5.1513720408561134</v>
      </c>
      <c r="P53">
        <f t="shared" si="27"/>
        <v>0.4848484848489778</v>
      </c>
      <c r="Q53">
        <v>2.94219970703125</v>
      </c>
      <c r="R53">
        <v>162582.69597145799</v>
      </c>
      <c r="S53">
        <f t="shared" si="28"/>
        <v>5.1513720408716637</v>
      </c>
      <c r="T53">
        <f t="shared" si="39"/>
        <v>0.51515151515179014</v>
      </c>
      <c r="U53">
        <v>3.1673824425900801</v>
      </c>
      <c r="V53">
        <v>198586.08727955801</v>
      </c>
      <c r="W53">
        <f t="shared" si="29"/>
        <v>5.1513720408994459</v>
      </c>
      <c r="X53">
        <f t="shared" si="30"/>
        <v>0.48484848484686249</v>
      </c>
      <c r="Y53">
        <v>2.9425048828125</v>
      </c>
      <c r="Z53">
        <v>234591.48600565299</v>
      </c>
      <c r="AA53">
        <f t="shared" si="31"/>
        <v>5.1513720408369466</v>
      </c>
      <c r="AB53">
        <f t="shared" si="32"/>
        <v>0.51515151515010715</v>
      </c>
      <c r="AC53">
        <v>3.16802978515625</v>
      </c>
      <c r="AD53">
        <v>270594.91331475298</v>
      </c>
      <c r="AE53">
        <f t="shared" si="33"/>
        <v>5.151372040842503</v>
      </c>
      <c r="AF53">
        <f t="shared" si="34"/>
        <v>0.48484848484962417</v>
      </c>
      <c r="AG53">
        <v>2.9437255859375</v>
      </c>
      <c r="AH53">
        <v>306600.49904384802</v>
      </c>
      <c r="AI53">
        <f t="shared" si="35"/>
        <v>5.1513720408577797</v>
      </c>
      <c r="AJ53">
        <f t="shared" si="36"/>
        <v>0.51515151515111723</v>
      </c>
      <c r="AK53">
        <v>3.16888982599452</v>
      </c>
      <c r="AL53">
        <v>342603.95835294802</v>
      </c>
      <c r="AM53">
        <f t="shared" si="37"/>
        <v>5.1513720408522232</v>
      </c>
      <c r="AN53">
        <f t="shared" si="38"/>
        <v>0.48484848484915211</v>
      </c>
      <c r="AO53">
        <v>2.94281005859375</v>
      </c>
      <c r="AP53">
        <v>4.16740093809186</v>
      </c>
    </row>
    <row r="54" spans="1:42" x14ac:dyDescent="0.2">
      <c r="A54" s="3">
        <v>52</v>
      </c>
      <c r="B54">
        <v>18928.832075775001</v>
      </c>
      <c r="C54">
        <v>3.16768453578756</v>
      </c>
      <c r="D54">
        <f t="shared" si="20"/>
        <v>5.2580089099374998</v>
      </c>
      <c r="E54">
        <f t="shared" si="21"/>
        <v>0.52551964490747893</v>
      </c>
      <c r="F54">
        <v>54932.527474874303</v>
      </c>
      <c r="G54">
        <f t="shared" si="22"/>
        <v>5.2523793357873068</v>
      </c>
      <c r="H54">
        <f t="shared" si="23"/>
        <v>0.47474747474736756</v>
      </c>
      <c r="I54">
        <v>2.940673828125</v>
      </c>
      <c r="J54">
        <v>90937.561206970699</v>
      </c>
      <c r="K54">
        <f t="shared" si="24"/>
        <v>5.2523793358029707</v>
      </c>
      <c r="L54">
        <f t="shared" si="25"/>
        <v>0.52525252525337462</v>
      </c>
      <c r="M54">
        <v>3.1652431295374002</v>
      </c>
      <c r="N54">
        <v>126940.94251407099</v>
      </c>
      <c r="O54">
        <f t="shared" si="26"/>
        <v>5.2523793357752773</v>
      </c>
      <c r="P54">
        <f t="shared" si="27"/>
        <v>0.47474747474793566</v>
      </c>
      <c r="Q54">
        <v>2.9412841796875</v>
      </c>
      <c r="R54">
        <v>162946.32223316599</v>
      </c>
      <c r="S54">
        <f t="shared" si="28"/>
        <v>5.2523793357905575</v>
      </c>
      <c r="T54">
        <f t="shared" si="39"/>
        <v>0.52525252525278976</v>
      </c>
      <c r="U54">
        <v>3.1682024098405899</v>
      </c>
      <c r="V54">
        <v>198949.71354126601</v>
      </c>
      <c r="W54">
        <f t="shared" si="29"/>
        <v>5.2523793358183326</v>
      </c>
      <c r="X54">
        <f t="shared" si="30"/>
        <v>0.47474747474589163</v>
      </c>
      <c r="Y54">
        <v>2.94158935546875</v>
      </c>
      <c r="Z54">
        <v>234955.11226736099</v>
      </c>
      <c r="AA54">
        <f t="shared" si="31"/>
        <v>5.2523793357558333</v>
      </c>
      <c r="AB54">
        <f t="shared" si="32"/>
        <v>0.52525252525114119</v>
      </c>
      <c r="AC54">
        <v>3.1685075856218399</v>
      </c>
      <c r="AD54">
        <v>270958.53957646101</v>
      </c>
      <c r="AE54">
        <f t="shared" si="33"/>
        <v>5.2523793357613897</v>
      </c>
      <c r="AF54">
        <f t="shared" si="34"/>
        <v>0.4747474747485958</v>
      </c>
      <c r="AG54">
        <v>2.94281005859375</v>
      </c>
      <c r="AH54">
        <v>306964.12530555599</v>
      </c>
      <c r="AI54">
        <f t="shared" si="35"/>
        <v>5.2523793357766664</v>
      </c>
      <c r="AJ54">
        <f t="shared" si="36"/>
        <v>0.52525252525213029</v>
      </c>
      <c r="AK54">
        <v>3.1692905618687002</v>
      </c>
      <c r="AL54">
        <v>342967.58461465599</v>
      </c>
      <c r="AM54">
        <f t="shared" si="37"/>
        <v>5.2523793357711099</v>
      </c>
      <c r="AN54">
        <f t="shared" si="38"/>
        <v>0.4747474747481335</v>
      </c>
      <c r="AO54">
        <v>2.94189453125</v>
      </c>
      <c r="AP54">
        <v>4.1676845357875596</v>
      </c>
    </row>
    <row r="55" spans="1:42" x14ac:dyDescent="0.2">
      <c r="A55" s="3">
        <v>53</v>
      </c>
      <c r="B55">
        <v>19292.4583374832</v>
      </c>
      <c r="C55">
        <v>3.1688281743213298</v>
      </c>
      <c r="D55">
        <f t="shared" si="20"/>
        <v>5.3590162048564443</v>
      </c>
      <c r="E55">
        <f t="shared" si="21"/>
        <v>0.53561497161157523</v>
      </c>
      <c r="F55">
        <v>55296.153736582499</v>
      </c>
      <c r="G55">
        <f t="shared" si="22"/>
        <v>5.3533866307062485</v>
      </c>
      <c r="H55">
        <f t="shared" si="23"/>
        <v>0.46464646464635995</v>
      </c>
      <c r="I55">
        <v>2.9400634765625</v>
      </c>
      <c r="J55">
        <v>91301.187468678894</v>
      </c>
      <c r="K55">
        <f t="shared" si="24"/>
        <v>5.3533866307219142</v>
      </c>
      <c r="L55">
        <f t="shared" si="25"/>
        <v>0.53535353535436658</v>
      </c>
      <c r="M55">
        <v>3.1658349855980701</v>
      </c>
      <c r="N55">
        <v>127304.568775779</v>
      </c>
      <c r="O55">
        <f t="shared" si="26"/>
        <v>5.3533866306941711</v>
      </c>
      <c r="P55">
        <f t="shared" si="27"/>
        <v>0.46464646464692061</v>
      </c>
      <c r="Q55">
        <v>2.94036865234375</v>
      </c>
      <c r="R55">
        <v>163309.948494874</v>
      </c>
      <c r="S55">
        <f t="shared" si="28"/>
        <v>5.3533866307094442</v>
      </c>
      <c r="T55">
        <f t="shared" si="39"/>
        <v>0.53535353535378871</v>
      </c>
      <c r="U55">
        <v>3.1685815676294702</v>
      </c>
      <c r="V55">
        <v>199313.33980297399</v>
      </c>
      <c r="W55">
        <f t="shared" si="29"/>
        <v>5.3533866307372193</v>
      </c>
      <c r="X55">
        <f t="shared" si="30"/>
        <v>0.46464646464492076</v>
      </c>
      <c r="Y55">
        <v>2.94036865234375</v>
      </c>
      <c r="Z55">
        <v>235318.738529069</v>
      </c>
      <c r="AA55">
        <f t="shared" si="31"/>
        <v>5.35338663067472</v>
      </c>
      <c r="AB55">
        <f t="shared" si="32"/>
        <v>0.53535353535217522</v>
      </c>
      <c r="AC55">
        <v>3.1688744130758799</v>
      </c>
      <c r="AD55">
        <v>271322.16583816899</v>
      </c>
      <c r="AE55">
        <f t="shared" si="33"/>
        <v>5.3533866306802764</v>
      </c>
      <c r="AF55">
        <f t="shared" si="34"/>
        <v>0.46464646464756743</v>
      </c>
      <c r="AG55">
        <v>2.94189453125</v>
      </c>
      <c r="AH55">
        <v>307327.75156726397</v>
      </c>
      <c r="AI55">
        <f t="shared" si="35"/>
        <v>5.3533866306955531</v>
      </c>
      <c r="AJ55">
        <f t="shared" si="36"/>
        <v>0.53535353535314323</v>
      </c>
      <c r="AK55">
        <v>3.1698022707542299</v>
      </c>
      <c r="AL55">
        <v>343331.21087636403</v>
      </c>
      <c r="AM55">
        <f t="shared" si="37"/>
        <v>5.3533866306900109</v>
      </c>
      <c r="AN55">
        <f t="shared" si="38"/>
        <v>0.46464646464711357</v>
      </c>
      <c r="AO55">
        <v>2.94097900390625</v>
      </c>
      <c r="AP55">
        <v>4.1688281743213302</v>
      </c>
    </row>
    <row r="56" spans="1:42" x14ac:dyDescent="0.2">
      <c r="A56" s="3">
        <v>54</v>
      </c>
      <c r="B56">
        <v>19656.084599191301</v>
      </c>
      <c r="C56">
        <v>3.1691395152698898</v>
      </c>
      <c r="D56">
        <f t="shared" si="20"/>
        <v>5.4600234997753612</v>
      </c>
      <c r="E56">
        <f t="shared" si="21"/>
        <v>0.54571029831566886</v>
      </c>
      <c r="F56">
        <v>55659.779998290702</v>
      </c>
      <c r="G56">
        <f t="shared" si="22"/>
        <v>5.4543939256251939</v>
      </c>
      <c r="H56">
        <f t="shared" si="23"/>
        <v>0.45454545454535189</v>
      </c>
      <c r="I56">
        <v>2.93914794921875</v>
      </c>
      <c r="J56">
        <v>91664.813730387104</v>
      </c>
      <c r="K56">
        <f t="shared" si="24"/>
        <v>5.4543939256408613</v>
      </c>
      <c r="L56">
        <f t="shared" si="25"/>
        <v>0.54545454545535899</v>
      </c>
      <c r="M56">
        <v>3.16680908203125</v>
      </c>
      <c r="N56">
        <v>127668.19503748701</v>
      </c>
      <c r="O56">
        <f t="shared" si="26"/>
        <v>5.4543939256130578</v>
      </c>
      <c r="P56">
        <f t="shared" si="27"/>
        <v>0.45454545454590622</v>
      </c>
      <c r="Q56">
        <v>2.939453125</v>
      </c>
      <c r="R56">
        <v>163673.57475658201</v>
      </c>
      <c r="S56">
        <f t="shared" si="28"/>
        <v>5.454393925628338</v>
      </c>
      <c r="T56">
        <f t="shared" si="39"/>
        <v>0.54545454545478833</v>
      </c>
      <c r="U56">
        <v>3.1687511097297398</v>
      </c>
      <c r="V56">
        <v>199676.966064682</v>
      </c>
      <c r="W56">
        <f t="shared" si="29"/>
        <v>5.454393925656106</v>
      </c>
      <c r="X56">
        <f t="shared" si="30"/>
        <v>0.45454545454394979</v>
      </c>
      <c r="Y56">
        <v>2.939453125</v>
      </c>
      <c r="Z56">
        <v>235682.36479077701</v>
      </c>
      <c r="AA56">
        <f t="shared" si="31"/>
        <v>5.4543939255936209</v>
      </c>
      <c r="AB56">
        <f t="shared" si="32"/>
        <v>0.54545454545321059</v>
      </c>
      <c r="AC56">
        <v>3.1695556640625</v>
      </c>
      <c r="AD56">
        <v>271685.79209987703</v>
      </c>
      <c r="AE56">
        <f t="shared" si="33"/>
        <v>5.4543939255991774</v>
      </c>
      <c r="AF56">
        <f t="shared" si="34"/>
        <v>0.45454545454653761</v>
      </c>
      <c r="AG56">
        <v>2.940673828125</v>
      </c>
      <c r="AH56">
        <v>307691.37782897201</v>
      </c>
      <c r="AI56">
        <f t="shared" si="35"/>
        <v>5.454393925614454</v>
      </c>
      <c r="AJ56">
        <f t="shared" si="36"/>
        <v>0.54545454545415761</v>
      </c>
      <c r="AK56">
        <v>3.1706653941765102</v>
      </c>
      <c r="AL56">
        <v>343694.83713807201</v>
      </c>
      <c r="AM56">
        <f t="shared" si="37"/>
        <v>5.4543939256088976</v>
      </c>
      <c r="AN56">
        <f t="shared" si="38"/>
        <v>0.45454545454609496</v>
      </c>
      <c r="AO56">
        <v>2.93975830078125</v>
      </c>
      <c r="AP56">
        <v>4.1691395152698902</v>
      </c>
    </row>
    <row r="57" spans="1:42" x14ac:dyDescent="0.2">
      <c r="A57" s="3">
        <v>55</v>
      </c>
      <c r="B57">
        <v>20019.7108608995</v>
      </c>
      <c r="C57">
        <v>3.1695556640625</v>
      </c>
      <c r="D57">
        <f t="shared" si="20"/>
        <v>5.5610307946943056</v>
      </c>
      <c r="E57">
        <f t="shared" si="21"/>
        <v>0.55580562501976527</v>
      </c>
      <c r="F57">
        <v>56023.406259998897</v>
      </c>
      <c r="G57">
        <f t="shared" si="22"/>
        <v>5.5554012205441374</v>
      </c>
      <c r="H57">
        <f t="shared" si="23"/>
        <v>0.44444444444434406</v>
      </c>
      <c r="I57">
        <v>2.938232421875</v>
      </c>
      <c r="J57">
        <v>92028.439992095198</v>
      </c>
      <c r="K57">
        <f t="shared" si="24"/>
        <v>5.5554012205597765</v>
      </c>
      <c r="L57">
        <f t="shared" si="25"/>
        <v>0.55555555555634806</v>
      </c>
      <c r="M57">
        <v>3.1677585177949501</v>
      </c>
      <c r="N57">
        <v>128031.821299195</v>
      </c>
      <c r="O57">
        <f t="shared" si="26"/>
        <v>5.5554012205319445</v>
      </c>
      <c r="P57">
        <f t="shared" si="27"/>
        <v>0.44444444444489184</v>
      </c>
      <c r="Q57">
        <v>2.93853759765625</v>
      </c>
      <c r="R57">
        <v>164037.201018291</v>
      </c>
      <c r="S57">
        <f t="shared" si="28"/>
        <v>5.5554012205475019</v>
      </c>
      <c r="T57">
        <f t="shared" si="39"/>
        <v>0.55555555555581504</v>
      </c>
      <c r="U57">
        <v>3.1695556640625</v>
      </c>
      <c r="V57">
        <v>200040.59232639099</v>
      </c>
      <c r="W57">
        <f t="shared" si="29"/>
        <v>5.5554012205752699</v>
      </c>
      <c r="X57">
        <f t="shared" si="30"/>
        <v>0.44444444444295128</v>
      </c>
      <c r="Y57">
        <v>2.938232421875</v>
      </c>
      <c r="Z57">
        <v>236045.991052486</v>
      </c>
      <c r="AA57">
        <f t="shared" si="31"/>
        <v>5.5554012205127776</v>
      </c>
      <c r="AB57">
        <f t="shared" si="32"/>
        <v>0.55555555555427161</v>
      </c>
      <c r="AC57">
        <v>3.17064073350695</v>
      </c>
      <c r="AD57">
        <v>272049.41836158599</v>
      </c>
      <c r="AE57">
        <f t="shared" si="33"/>
        <v>5.5554012205183341</v>
      </c>
      <c r="AF57">
        <f t="shared" si="34"/>
        <v>0.44444444444548215</v>
      </c>
      <c r="AG57">
        <v>2.93975830078125</v>
      </c>
      <c r="AH57">
        <v>308055.00409068097</v>
      </c>
      <c r="AI57">
        <f t="shared" si="35"/>
        <v>5.5554012205336107</v>
      </c>
      <c r="AJ57">
        <f t="shared" si="36"/>
        <v>0.55555555555519764</v>
      </c>
      <c r="AK57">
        <v>3.1708441840272101</v>
      </c>
      <c r="AL57">
        <v>344058.46339978097</v>
      </c>
      <c r="AM57">
        <f t="shared" si="37"/>
        <v>5.5554012205280543</v>
      </c>
      <c r="AN57">
        <f t="shared" si="38"/>
        <v>0.44444444444504938</v>
      </c>
      <c r="AO57">
        <v>2.9388427734375</v>
      </c>
      <c r="AP57">
        <v>4.1695556640625</v>
      </c>
    </row>
    <row r="58" spans="1:42" x14ac:dyDescent="0.2">
      <c r="A58" s="3">
        <v>56</v>
      </c>
      <c r="B58">
        <v>20383.3371226077</v>
      </c>
      <c r="C58">
        <v>3.170166015625</v>
      </c>
      <c r="D58">
        <f t="shared" si="20"/>
        <v>5.6620380896132501</v>
      </c>
      <c r="E58">
        <f t="shared" si="21"/>
        <v>0.56590095172386168</v>
      </c>
      <c r="F58">
        <v>56387.0325217071</v>
      </c>
      <c r="G58">
        <f t="shared" si="22"/>
        <v>5.6564085154630828</v>
      </c>
      <c r="H58">
        <f t="shared" si="23"/>
        <v>0.434343434343336</v>
      </c>
      <c r="I58">
        <v>2.9376220703125</v>
      </c>
      <c r="J58">
        <v>92392.066253803394</v>
      </c>
      <c r="K58">
        <f t="shared" si="24"/>
        <v>5.65640851547872</v>
      </c>
      <c r="L58">
        <f t="shared" si="25"/>
        <v>0.56565656565734013</v>
      </c>
      <c r="M58">
        <v>3.1677893436318998</v>
      </c>
      <c r="N58">
        <v>128395.44756090301</v>
      </c>
      <c r="O58">
        <f t="shared" si="26"/>
        <v>5.6564085154508383</v>
      </c>
      <c r="P58">
        <f t="shared" si="27"/>
        <v>0.43434343434387679</v>
      </c>
      <c r="Q58">
        <v>2.9376220703125</v>
      </c>
      <c r="R58">
        <v>164400.82727999901</v>
      </c>
      <c r="S58">
        <f t="shared" si="28"/>
        <v>5.6564085154663957</v>
      </c>
      <c r="T58">
        <f t="shared" si="39"/>
        <v>0.56565656565681466</v>
      </c>
      <c r="U58">
        <v>3.1704927694918701</v>
      </c>
      <c r="V58">
        <v>200404.218588099</v>
      </c>
      <c r="W58">
        <f t="shared" si="29"/>
        <v>5.6564085154941637</v>
      </c>
      <c r="X58">
        <f t="shared" si="30"/>
        <v>0.43434343434197964</v>
      </c>
      <c r="Y58">
        <v>2.93731689453125</v>
      </c>
      <c r="Z58">
        <v>236409.61731419401</v>
      </c>
      <c r="AA58">
        <f t="shared" si="31"/>
        <v>5.6564085154316643</v>
      </c>
      <c r="AB58">
        <f t="shared" si="32"/>
        <v>0.56565656565530564</v>
      </c>
      <c r="AC58">
        <v>3.1710383867975498</v>
      </c>
      <c r="AD58">
        <v>272413.04462329397</v>
      </c>
      <c r="AE58">
        <f t="shared" si="33"/>
        <v>5.6564085154372208</v>
      </c>
      <c r="AF58">
        <f t="shared" si="34"/>
        <v>0.43434343434445377</v>
      </c>
      <c r="AG58">
        <v>2.93853759765625</v>
      </c>
      <c r="AH58">
        <v>308418.63035238901</v>
      </c>
      <c r="AI58">
        <f t="shared" si="35"/>
        <v>5.6564085154524975</v>
      </c>
      <c r="AJ58">
        <f t="shared" si="36"/>
        <v>0.56565656565621059</v>
      </c>
      <c r="AK58">
        <v>3.1716703164456401</v>
      </c>
      <c r="AL58">
        <v>344422.08966148901</v>
      </c>
      <c r="AM58">
        <f t="shared" si="37"/>
        <v>5.6564085154469552</v>
      </c>
      <c r="AN58">
        <f t="shared" si="38"/>
        <v>0.43434343434402933</v>
      </c>
      <c r="AO58">
        <v>2.93792724609375</v>
      </c>
      <c r="AP58">
        <v>4.170166015625</v>
      </c>
    </row>
    <row r="59" spans="1:42" x14ac:dyDescent="0.2">
      <c r="A59" s="3">
        <v>57</v>
      </c>
      <c r="B59">
        <v>20746.963384315899</v>
      </c>
      <c r="C59">
        <v>3.1706561464251899</v>
      </c>
      <c r="D59">
        <f t="shared" si="20"/>
        <v>5.7630453845321945</v>
      </c>
      <c r="E59">
        <f t="shared" si="21"/>
        <v>0.57599627842795798</v>
      </c>
      <c r="F59">
        <v>56750.658783415303</v>
      </c>
      <c r="G59">
        <f t="shared" si="22"/>
        <v>5.7574158103820281</v>
      </c>
      <c r="H59">
        <f t="shared" si="23"/>
        <v>0.42424242424232794</v>
      </c>
      <c r="I59">
        <v>2.93670654296875</v>
      </c>
      <c r="J59">
        <v>92755.692515511706</v>
      </c>
      <c r="K59">
        <f t="shared" si="24"/>
        <v>5.7574158103976956</v>
      </c>
      <c r="L59">
        <f t="shared" si="25"/>
        <v>0.5757575757583353</v>
      </c>
      <c r="M59">
        <v>3.1688528349906302</v>
      </c>
      <c r="N59">
        <v>128759.073822612</v>
      </c>
      <c r="O59">
        <f t="shared" si="26"/>
        <v>5.7574158103700022</v>
      </c>
      <c r="P59">
        <f t="shared" si="27"/>
        <v>0.42424242424283465</v>
      </c>
      <c r="Q59">
        <v>2.93670654296875</v>
      </c>
      <c r="R59">
        <v>164764.45354170699</v>
      </c>
      <c r="S59">
        <f t="shared" si="28"/>
        <v>5.7574158103852753</v>
      </c>
      <c r="T59">
        <f t="shared" si="39"/>
        <v>0.57575757575781283</v>
      </c>
      <c r="U59">
        <v>3.1714144620028799</v>
      </c>
      <c r="V59">
        <v>200767.84484980701</v>
      </c>
      <c r="W59">
        <f t="shared" si="29"/>
        <v>5.7574158104130575</v>
      </c>
      <c r="X59">
        <f t="shared" si="30"/>
        <v>0.424242424241008</v>
      </c>
      <c r="Y59">
        <v>2.93609619140625</v>
      </c>
      <c r="Z59">
        <v>236773.24357590199</v>
      </c>
      <c r="AA59">
        <f t="shared" si="31"/>
        <v>5.7574158103505511</v>
      </c>
      <c r="AB59">
        <f t="shared" si="32"/>
        <v>0.57575757575633968</v>
      </c>
      <c r="AC59">
        <v>3.1718121152935899</v>
      </c>
      <c r="AD59">
        <v>272776.67088500201</v>
      </c>
      <c r="AE59">
        <f t="shared" si="33"/>
        <v>5.7574158103561217</v>
      </c>
      <c r="AF59">
        <f t="shared" si="34"/>
        <v>0.42424242424342395</v>
      </c>
      <c r="AG59">
        <v>2.9376220703125</v>
      </c>
      <c r="AH59">
        <v>308782.25661409699</v>
      </c>
      <c r="AI59">
        <f t="shared" si="35"/>
        <v>5.7574158103713842</v>
      </c>
      <c r="AJ59">
        <f t="shared" si="36"/>
        <v>0.57575757575722353</v>
      </c>
      <c r="AK59">
        <v>3.17169189453125</v>
      </c>
      <c r="AL59">
        <v>344785.71592319699</v>
      </c>
      <c r="AM59">
        <f t="shared" si="37"/>
        <v>5.7574158103658277</v>
      </c>
      <c r="AN59">
        <f t="shared" si="38"/>
        <v>0.42424242424301217</v>
      </c>
      <c r="AO59">
        <v>2.93670654296875</v>
      </c>
      <c r="AP59">
        <v>4.1706561464251903</v>
      </c>
    </row>
    <row r="60" spans="1:42" x14ac:dyDescent="0.2">
      <c r="A60" s="3">
        <v>58</v>
      </c>
      <c r="B60">
        <v>21110.589646024098</v>
      </c>
      <c r="C60">
        <v>3.17159325185448</v>
      </c>
      <c r="D60">
        <f t="shared" si="20"/>
        <v>5.8640526794511381</v>
      </c>
      <c r="E60">
        <f t="shared" si="21"/>
        <v>0.58609160513205427</v>
      </c>
      <c r="F60">
        <v>57114.285045123499</v>
      </c>
      <c r="G60">
        <f t="shared" si="22"/>
        <v>5.8584231053009717</v>
      </c>
      <c r="H60">
        <f t="shared" si="23"/>
        <v>0.41414141414132011</v>
      </c>
      <c r="I60">
        <v>2.93609619140625</v>
      </c>
      <c r="J60">
        <v>93119.3187772198</v>
      </c>
      <c r="K60">
        <f t="shared" si="24"/>
        <v>5.8584231053166107</v>
      </c>
      <c r="L60">
        <f t="shared" si="25"/>
        <v>0.58585858585932449</v>
      </c>
      <c r="M60">
        <v>3.1693491309581199</v>
      </c>
      <c r="N60">
        <v>129122.70008431999</v>
      </c>
      <c r="O60">
        <f t="shared" si="26"/>
        <v>5.8584231052888889</v>
      </c>
      <c r="P60">
        <f t="shared" si="27"/>
        <v>0.41414141414182026</v>
      </c>
      <c r="Q60">
        <v>2.93548583984375</v>
      </c>
      <c r="R60">
        <v>165128.07980341499</v>
      </c>
      <c r="S60">
        <f t="shared" si="28"/>
        <v>5.8584231053041691</v>
      </c>
      <c r="T60">
        <f t="shared" si="39"/>
        <v>0.58585858585881256</v>
      </c>
      <c r="U60">
        <v>3.1708842576148801</v>
      </c>
      <c r="V60">
        <v>201131.47111151501</v>
      </c>
      <c r="W60">
        <f t="shared" si="29"/>
        <v>5.8584231053319442</v>
      </c>
      <c r="X60">
        <f t="shared" si="30"/>
        <v>0.41414141414003713</v>
      </c>
      <c r="Y60">
        <v>2.93487548828125</v>
      </c>
      <c r="Z60">
        <v>237136.86983760999</v>
      </c>
      <c r="AA60">
        <f t="shared" si="31"/>
        <v>5.8584231052694378</v>
      </c>
      <c r="AB60">
        <f t="shared" si="32"/>
        <v>0.58585858585737371</v>
      </c>
      <c r="AC60">
        <v>3.17250877919827</v>
      </c>
      <c r="AD60">
        <v>273140.29714670999</v>
      </c>
      <c r="AE60">
        <f t="shared" si="33"/>
        <v>5.8584231052749942</v>
      </c>
      <c r="AF60">
        <f t="shared" si="34"/>
        <v>0.41414141414239702</v>
      </c>
      <c r="AG60">
        <v>2.9364013671875</v>
      </c>
      <c r="AH60">
        <v>309145.88287580502</v>
      </c>
      <c r="AI60">
        <f t="shared" si="35"/>
        <v>5.8584231052902851</v>
      </c>
      <c r="AJ60">
        <f t="shared" si="36"/>
        <v>0.58585858585823791</v>
      </c>
      <c r="AK60">
        <v>3.17240088877069</v>
      </c>
      <c r="AL60">
        <v>345149.34218490502</v>
      </c>
      <c r="AM60">
        <f t="shared" si="37"/>
        <v>5.8584231052847286</v>
      </c>
      <c r="AN60">
        <f t="shared" si="38"/>
        <v>0.41414141414199224</v>
      </c>
      <c r="AO60">
        <v>2.93548583984375</v>
      </c>
      <c r="AP60">
        <v>4.17159325185448</v>
      </c>
    </row>
    <row r="61" spans="1:42" x14ac:dyDescent="0.2">
      <c r="A61" s="3">
        <v>59</v>
      </c>
      <c r="B61">
        <v>21474.215907732301</v>
      </c>
      <c r="C61">
        <v>3.17230224609375</v>
      </c>
      <c r="D61">
        <f t="shared" si="20"/>
        <v>5.9650599743700834</v>
      </c>
      <c r="E61">
        <f t="shared" si="21"/>
        <v>0.59618693183615068</v>
      </c>
      <c r="F61">
        <v>57477.911306831702</v>
      </c>
      <c r="G61">
        <f t="shared" si="22"/>
        <v>5.959430400219917</v>
      </c>
      <c r="H61">
        <f t="shared" si="23"/>
        <v>0.40404040404031205</v>
      </c>
      <c r="I61">
        <v>2.9351806640625</v>
      </c>
      <c r="J61">
        <v>93482.945038927995</v>
      </c>
      <c r="K61">
        <f t="shared" si="24"/>
        <v>5.9594304002355543</v>
      </c>
      <c r="L61">
        <f t="shared" si="25"/>
        <v>0.59595959596031645</v>
      </c>
      <c r="M61">
        <v>3.1710661300505998</v>
      </c>
      <c r="N61">
        <v>129486.326346028</v>
      </c>
      <c r="O61">
        <f t="shared" si="26"/>
        <v>5.9594304002077756</v>
      </c>
      <c r="P61">
        <f t="shared" si="27"/>
        <v>0.40404040404080599</v>
      </c>
      <c r="Q61">
        <v>2.9345703125</v>
      </c>
      <c r="R61">
        <v>165491.706065123</v>
      </c>
      <c r="S61">
        <f t="shared" si="28"/>
        <v>5.9594304002230558</v>
      </c>
      <c r="T61">
        <f t="shared" si="39"/>
        <v>0.59595959595981141</v>
      </c>
      <c r="U61">
        <v>3.172607421875</v>
      </c>
      <c r="V61">
        <v>201495.09737322299</v>
      </c>
      <c r="W61">
        <f t="shared" si="29"/>
        <v>5.9594304002508309</v>
      </c>
      <c r="X61">
        <f t="shared" si="30"/>
        <v>0.40404040403906627</v>
      </c>
      <c r="Y61">
        <v>2.9336701980745801</v>
      </c>
      <c r="Z61">
        <v>237500.496099318</v>
      </c>
      <c r="AA61">
        <f t="shared" si="31"/>
        <v>5.9594304001883387</v>
      </c>
      <c r="AB61">
        <f t="shared" si="32"/>
        <v>0.59595959595840908</v>
      </c>
      <c r="AC61">
        <v>3.17291259765625</v>
      </c>
      <c r="AD61">
        <v>273503.92340841802</v>
      </c>
      <c r="AE61">
        <f t="shared" si="33"/>
        <v>5.9594304001938951</v>
      </c>
      <c r="AF61">
        <f t="shared" si="34"/>
        <v>0.40404040404136721</v>
      </c>
      <c r="AG61">
        <v>2.9351806640625</v>
      </c>
      <c r="AH61">
        <v>309509.509137513</v>
      </c>
      <c r="AI61">
        <f t="shared" si="35"/>
        <v>5.9594304002091718</v>
      </c>
      <c r="AJ61">
        <f t="shared" si="36"/>
        <v>0.59595959595925085</v>
      </c>
      <c r="AK61">
        <v>3.17356918797284</v>
      </c>
      <c r="AL61">
        <v>345512.968446613</v>
      </c>
      <c r="AM61">
        <f t="shared" si="37"/>
        <v>5.9594304002036154</v>
      </c>
      <c r="AN61">
        <f t="shared" si="38"/>
        <v>0.40404040404097363</v>
      </c>
      <c r="AO61">
        <v>2.9345703125</v>
      </c>
      <c r="AP61">
        <v>4.17230224609375</v>
      </c>
    </row>
    <row r="62" spans="1:42" x14ac:dyDescent="0.2">
      <c r="A62" s="3">
        <v>60</v>
      </c>
      <c r="B62">
        <v>21837.842169440501</v>
      </c>
      <c r="C62">
        <v>3.17273689038826</v>
      </c>
      <c r="D62">
        <f t="shared" si="20"/>
        <v>6.0660672692890278</v>
      </c>
      <c r="E62">
        <f t="shared" si="21"/>
        <v>0.60628225854024709</v>
      </c>
      <c r="F62">
        <v>57841.537568539898</v>
      </c>
      <c r="G62">
        <f t="shared" si="22"/>
        <v>6.0604376951388588</v>
      </c>
      <c r="H62">
        <f t="shared" si="23"/>
        <v>0.39393939393930444</v>
      </c>
      <c r="I62">
        <v>2.93426513671875</v>
      </c>
      <c r="J62">
        <v>93846.571300636206</v>
      </c>
      <c r="K62">
        <f t="shared" si="24"/>
        <v>6.0604376951545014</v>
      </c>
      <c r="L62">
        <f t="shared" si="25"/>
        <v>0.60606060606130885</v>
      </c>
      <c r="M62">
        <v>3.1715624260180899</v>
      </c>
      <c r="N62">
        <v>129849.95260773601</v>
      </c>
      <c r="O62">
        <f t="shared" si="26"/>
        <v>6.0604376951266694</v>
      </c>
      <c r="P62">
        <f t="shared" si="27"/>
        <v>0.39393939393979083</v>
      </c>
      <c r="Q62">
        <v>2.93365478515625</v>
      </c>
      <c r="R62">
        <v>165855.33232683199</v>
      </c>
      <c r="S62">
        <f t="shared" si="28"/>
        <v>6.0604376951422196</v>
      </c>
      <c r="T62">
        <f t="shared" si="39"/>
        <v>0.60606060606083811</v>
      </c>
      <c r="U62">
        <v>3.17317153468248</v>
      </c>
      <c r="V62">
        <v>201858.72363493199</v>
      </c>
      <c r="W62">
        <f t="shared" si="29"/>
        <v>6.0604376951699948</v>
      </c>
      <c r="X62">
        <f t="shared" si="30"/>
        <v>0.39393939393806765</v>
      </c>
      <c r="Y62">
        <v>2.93243408203125</v>
      </c>
      <c r="Z62">
        <v>237864.122361027</v>
      </c>
      <c r="AA62">
        <f t="shared" si="31"/>
        <v>6.0604376951074954</v>
      </c>
      <c r="AB62">
        <f t="shared" si="32"/>
        <v>0.6060606060594701</v>
      </c>
      <c r="AC62">
        <v>3.17387436375467</v>
      </c>
      <c r="AD62">
        <v>273867.54967012699</v>
      </c>
      <c r="AE62">
        <f t="shared" si="33"/>
        <v>6.0604376951130519</v>
      </c>
      <c r="AF62">
        <f t="shared" si="34"/>
        <v>0.39393939394031185</v>
      </c>
      <c r="AG62">
        <v>2.9339599609375</v>
      </c>
      <c r="AH62">
        <v>309873.13539922202</v>
      </c>
      <c r="AI62">
        <f t="shared" si="35"/>
        <v>6.0604376951283427</v>
      </c>
      <c r="AJ62">
        <f t="shared" si="36"/>
        <v>0.60606060606029233</v>
      </c>
      <c r="AK62">
        <v>3.1742627692943599</v>
      </c>
      <c r="AL62">
        <v>345876.59470832202</v>
      </c>
      <c r="AM62">
        <f t="shared" si="37"/>
        <v>6.0604376951227863</v>
      </c>
      <c r="AN62">
        <f t="shared" si="38"/>
        <v>0.39393939393992661</v>
      </c>
      <c r="AO62">
        <v>2.933349609375</v>
      </c>
      <c r="AP62">
        <v>4.1727368903882596</v>
      </c>
    </row>
    <row r="63" spans="1:42" x14ac:dyDescent="0.2">
      <c r="A63" s="3">
        <v>61</v>
      </c>
      <c r="B63">
        <v>22201.4684311487</v>
      </c>
      <c r="C63">
        <v>3.1737664733270199</v>
      </c>
      <c r="D63">
        <f t="shared" si="20"/>
        <v>6.1670745642079723</v>
      </c>
      <c r="E63">
        <f t="shared" si="21"/>
        <v>0.6163775852443435</v>
      </c>
      <c r="F63">
        <v>58205.163830248101</v>
      </c>
      <c r="G63">
        <f t="shared" si="22"/>
        <v>6.1614449900578059</v>
      </c>
      <c r="H63">
        <f t="shared" si="23"/>
        <v>0.38383838383829616</v>
      </c>
      <c r="I63">
        <v>2.933349609375</v>
      </c>
      <c r="J63">
        <v>94210.197562344401</v>
      </c>
      <c r="K63">
        <f t="shared" si="24"/>
        <v>6.1614449900734449</v>
      </c>
      <c r="L63">
        <f t="shared" si="25"/>
        <v>0.61616161616230081</v>
      </c>
      <c r="M63">
        <v>3.17236389776683</v>
      </c>
      <c r="N63">
        <v>130213.578869444</v>
      </c>
      <c r="O63">
        <f t="shared" si="26"/>
        <v>6.1614449900455561</v>
      </c>
      <c r="P63">
        <f t="shared" si="27"/>
        <v>0.38383838383877644</v>
      </c>
      <c r="Q63">
        <v>2.93243408203125</v>
      </c>
      <c r="R63">
        <v>166218.95858854</v>
      </c>
      <c r="S63">
        <f t="shared" si="28"/>
        <v>6.1614449900611135</v>
      </c>
      <c r="T63">
        <f t="shared" si="39"/>
        <v>0.61616161616183773</v>
      </c>
      <c r="U63">
        <v>3.1746203489976099</v>
      </c>
      <c r="V63">
        <v>202222.34989663999</v>
      </c>
      <c r="W63">
        <f t="shared" si="29"/>
        <v>6.1614449900888815</v>
      </c>
      <c r="X63">
        <f t="shared" si="30"/>
        <v>0.38383838383709679</v>
      </c>
      <c r="Y63">
        <v>2.93121337890625</v>
      </c>
      <c r="Z63">
        <v>238227.748622735</v>
      </c>
      <c r="AA63">
        <f t="shared" si="31"/>
        <v>6.1614449900263963</v>
      </c>
      <c r="AB63">
        <f t="shared" si="32"/>
        <v>0.61616161616050558</v>
      </c>
      <c r="AC63">
        <v>3.1745617799085202</v>
      </c>
      <c r="AD63">
        <v>274231.17593183502</v>
      </c>
      <c r="AE63">
        <f t="shared" si="33"/>
        <v>6.1614449900319528</v>
      </c>
      <c r="AF63">
        <f t="shared" si="34"/>
        <v>0.38383838383928204</v>
      </c>
      <c r="AG63">
        <v>2.9327392578125</v>
      </c>
      <c r="AH63">
        <v>310236.76166093</v>
      </c>
      <c r="AI63">
        <f t="shared" si="35"/>
        <v>6.1614449900472295</v>
      </c>
      <c r="AJ63">
        <f t="shared" si="36"/>
        <v>0.61616161616130527</v>
      </c>
      <c r="AK63">
        <v>3.175048828125</v>
      </c>
      <c r="AL63">
        <v>346240.22097003</v>
      </c>
      <c r="AM63">
        <f t="shared" si="37"/>
        <v>6.161444990041673</v>
      </c>
      <c r="AN63">
        <f t="shared" si="38"/>
        <v>0.383838383838908</v>
      </c>
      <c r="AO63">
        <v>2.93212890625</v>
      </c>
      <c r="AP63">
        <v>4.1737664733270199</v>
      </c>
    </row>
    <row r="64" spans="1:42" x14ac:dyDescent="0.2">
      <c r="A64" s="3">
        <v>62</v>
      </c>
      <c r="B64">
        <v>22565.094692856899</v>
      </c>
      <c r="C64">
        <v>3.1739329328440702</v>
      </c>
      <c r="D64">
        <f t="shared" si="20"/>
        <v>6.2680818591269167</v>
      </c>
      <c r="E64">
        <f t="shared" si="21"/>
        <v>0.62647291194843979</v>
      </c>
      <c r="F64">
        <v>58568.790091956304</v>
      </c>
      <c r="G64">
        <f t="shared" si="22"/>
        <v>6.2624522849767494</v>
      </c>
      <c r="H64">
        <f t="shared" si="23"/>
        <v>0.37373737373728833</v>
      </c>
      <c r="I64">
        <v>2.93243408203125</v>
      </c>
      <c r="J64">
        <v>94573.823824052597</v>
      </c>
      <c r="K64">
        <f t="shared" si="24"/>
        <v>6.2624522849923885</v>
      </c>
      <c r="L64">
        <f t="shared" si="25"/>
        <v>0.62626262626329277</v>
      </c>
      <c r="M64">
        <v>3.17352294921875</v>
      </c>
      <c r="N64">
        <v>130577.20513115299</v>
      </c>
      <c r="O64">
        <f t="shared" si="26"/>
        <v>6.26245228496472</v>
      </c>
      <c r="P64">
        <f t="shared" si="27"/>
        <v>0.37373737373773441</v>
      </c>
      <c r="Q64">
        <v>2.93121337890625</v>
      </c>
      <c r="R64">
        <v>166582.58485024801</v>
      </c>
      <c r="S64">
        <f t="shared" si="28"/>
        <v>6.2624522849800073</v>
      </c>
      <c r="T64">
        <f t="shared" si="39"/>
        <v>0.62626262626283746</v>
      </c>
      <c r="U64">
        <v>3.17515363596902</v>
      </c>
      <c r="V64">
        <v>202585.976158348</v>
      </c>
      <c r="W64">
        <f t="shared" si="29"/>
        <v>6.2624522850077753</v>
      </c>
      <c r="X64">
        <f t="shared" si="30"/>
        <v>0.37373737373612526</v>
      </c>
      <c r="Y64">
        <v>2.92999267578125</v>
      </c>
      <c r="Z64">
        <v>238591.37488444301</v>
      </c>
      <c r="AA64">
        <f t="shared" si="31"/>
        <v>6.2624522849452831</v>
      </c>
      <c r="AB64">
        <f t="shared" si="32"/>
        <v>0.62626262626153961</v>
      </c>
      <c r="AC64">
        <v>3.1754064078282598</v>
      </c>
      <c r="AD64">
        <v>274594.802193543</v>
      </c>
      <c r="AE64">
        <f t="shared" si="33"/>
        <v>6.2624522849508395</v>
      </c>
      <c r="AF64">
        <f t="shared" si="34"/>
        <v>0.37373737373825366</v>
      </c>
      <c r="AG64">
        <v>2.9315185546875</v>
      </c>
      <c r="AH64">
        <v>310600.38792263798</v>
      </c>
      <c r="AI64">
        <f t="shared" si="35"/>
        <v>6.262452284966102</v>
      </c>
      <c r="AJ64">
        <f t="shared" si="36"/>
        <v>0.62626262626231677</v>
      </c>
      <c r="AK64">
        <v>3.17626953125</v>
      </c>
      <c r="AL64">
        <v>346603.84723173798</v>
      </c>
      <c r="AM64">
        <f t="shared" si="37"/>
        <v>6.2624522849605597</v>
      </c>
      <c r="AN64">
        <f t="shared" si="38"/>
        <v>0.3737373737378894</v>
      </c>
      <c r="AO64">
        <v>2.930908203125</v>
      </c>
      <c r="AP64">
        <v>4.1739329328440702</v>
      </c>
    </row>
    <row r="65" spans="1:42" x14ac:dyDescent="0.2">
      <c r="A65" s="3">
        <v>63</v>
      </c>
      <c r="B65">
        <v>22928.720954565099</v>
      </c>
      <c r="C65">
        <v>3.1747159090908998</v>
      </c>
      <c r="D65">
        <f t="shared" si="20"/>
        <v>6.3690891540458603</v>
      </c>
      <c r="E65">
        <f t="shared" si="21"/>
        <v>0.63656823865253609</v>
      </c>
      <c r="F65">
        <v>58932.416353664499</v>
      </c>
      <c r="G65">
        <f t="shared" si="22"/>
        <v>6.363459579895693</v>
      </c>
      <c r="H65">
        <f t="shared" si="23"/>
        <v>0.36363636363628049</v>
      </c>
      <c r="I65">
        <v>2.9315185546875</v>
      </c>
      <c r="J65">
        <v>94937.450085760807</v>
      </c>
      <c r="K65">
        <f t="shared" si="24"/>
        <v>6.3634595799113356</v>
      </c>
      <c r="L65">
        <f t="shared" si="25"/>
        <v>0.63636363636428517</v>
      </c>
      <c r="M65">
        <v>3.1744107333098599</v>
      </c>
      <c r="N65">
        <v>130940.831392861</v>
      </c>
      <c r="O65">
        <f t="shared" si="26"/>
        <v>6.3634595798836138</v>
      </c>
      <c r="P65">
        <f t="shared" si="27"/>
        <v>0.36363636363671925</v>
      </c>
      <c r="Q65">
        <v>2.9302978515625</v>
      </c>
      <c r="R65">
        <v>166946.21111195601</v>
      </c>
      <c r="S65">
        <f t="shared" si="28"/>
        <v>6.363459579898894</v>
      </c>
      <c r="T65">
        <f t="shared" si="39"/>
        <v>0.6363636363638363</v>
      </c>
      <c r="U65">
        <v>3.1759920987213102</v>
      </c>
      <c r="V65">
        <v>202949.60242005601</v>
      </c>
      <c r="W65">
        <f t="shared" si="29"/>
        <v>6.3634595799266691</v>
      </c>
      <c r="X65">
        <f t="shared" si="30"/>
        <v>0.36363636363515361</v>
      </c>
      <c r="Y65">
        <v>2.92877197265625</v>
      </c>
      <c r="Z65">
        <v>238955.00114615099</v>
      </c>
      <c r="AA65">
        <f t="shared" si="31"/>
        <v>6.3634595798641698</v>
      </c>
      <c r="AB65">
        <f t="shared" si="32"/>
        <v>0.63636363636257365</v>
      </c>
      <c r="AC65">
        <v>3.1764359907670698</v>
      </c>
      <c r="AD65">
        <v>274958.42845525098</v>
      </c>
      <c r="AE65">
        <f t="shared" si="33"/>
        <v>6.363459579869712</v>
      </c>
      <c r="AF65">
        <f t="shared" si="34"/>
        <v>0.36363636363722662</v>
      </c>
      <c r="AG65">
        <v>2.9302978515625</v>
      </c>
      <c r="AH65">
        <v>310964.01418434602</v>
      </c>
      <c r="AI65">
        <f t="shared" si="35"/>
        <v>6.3634595798850029</v>
      </c>
      <c r="AJ65">
        <f t="shared" si="36"/>
        <v>0.63636363636333126</v>
      </c>
      <c r="AK65">
        <v>3.17704634232941</v>
      </c>
      <c r="AL65">
        <v>346967.47349344601</v>
      </c>
      <c r="AM65">
        <f t="shared" si="37"/>
        <v>6.3634595798794464</v>
      </c>
      <c r="AN65">
        <f t="shared" si="38"/>
        <v>0.3636363636368708</v>
      </c>
      <c r="AO65">
        <v>2.92938232421875</v>
      </c>
      <c r="AP65">
        <v>4.1747159090909003</v>
      </c>
    </row>
    <row r="66" spans="1:42" x14ac:dyDescent="0.2">
      <c r="A66" s="3">
        <v>64</v>
      </c>
      <c r="B66">
        <v>23292.347216273301</v>
      </c>
      <c r="C66">
        <v>3.1759396947995602</v>
      </c>
      <c r="D66">
        <f t="shared" ref="D66:D101" si="40">B66/3600</f>
        <v>6.4700964489648056</v>
      </c>
      <c r="E66">
        <f t="shared" ref="E66:E97" si="41">D66/$D$101</f>
        <v>0.64666356535663261</v>
      </c>
      <c r="F66">
        <v>59296.042615372702</v>
      </c>
      <c r="G66">
        <f t="shared" ref="G66:G97" si="42">(F66:F165/3600)-10.0066560739</f>
        <v>6.4644668748146401</v>
      </c>
      <c r="H66">
        <f t="shared" ref="H66:H97" si="43">1-(G66/$G$101)</f>
        <v>0.35353535353527232</v>
      </c>
      <c r="I66">
        <v>2.93060302734375</v>
      </c>
      <c r="J66">
        <v>95301.076347469003</v>
      </c>
      <c r="K66">
        <f t="shared" ref="K66:K97" si="44">(J66:J165/3600)-20.0080543328</f>
        <v>6.4644668748302792</v>
      </c>
      <c r="L66">
        <f t="shared" ref="L66:L97" si="45">(K66/$K$101)</f>
        <v>0.64646464646527713</v>
      </c>
      <c r="M66">
        <v>3.1744877979010901</v>
      </c>
      <c r="N66">
        <v>131304.45765456901</v>
      </c>
      <c r="O66">
        <f t="shared" ref="O66:O97" si="46">(N66:N165/3600)-30.0089935848</f>
        <v>6.4644668748025005</v>
      </c>
      <c r="P66">
        <f t="shared" ref="P66:P97" si="47">1-(O66/$O$101)</f>
        <v>0.35353535353570498</v>
      </c>
      <c r="Q66">
        <v>2.9290771484375</v>
      </c>
      <c r="R66">
        <v>167309.83737366399</v>
      </c>
      <c r="S66">
        <f t="shared" ref="S66:S97" si="48">(R65:R165/3600)-40.0104879512</f>
        <v>6.4644668748177807</v>
      </c>
      <c r="T66">
        <f t="shared" si="39"/>
        <v>0.64646464646483526</v>
      </c>
      <c r="U66">
        <v>3.17657470703125</v>
      </c>
      <c r="V66">
        <v>203313.22868176401</v>
      </c>
      <c r="W66">
        <f t="shared" ref="W66:W97" si="49">(V66:V165/3600)-50.0114299812</f>
        <v>6.4644668748455558</v>
      </c>
      <c r="X66">
        <f t="shared" ref="X66:X97" si="50">1-(W66/$W$101)</f>
        <v>0.35353535353418275</v>
      </c>
      <c r="Y66">
        <v>2.92724609375</v>
      </c>
      <c r="Z66">
        <v>239318.62740785899</v>
      </c>
      <c r="AA66">
        <f t="shared" ref="AA66:AA97" si="51">(Z66:Z165/3600)-60.0129296274</f>
        <v>6.4644668747830565</v>
      </c>
      <c r="AB66">
        <f t="shared" ref="AB66:AB97" si="52">AA66/$AA$101</f>
        <v>0.64646464646360768</v>
      </c>
      <c r="AC66">
        <v>3.1769045434816099</v>
      </c>
      <c r="AD66">
        <v>275322.05471695901</v>
      </c>
      <c r="AE66">
        <f t="shared" ref="AE66:AE97" si="53">(AD66:AD165/3600)-70.0138816577</f>
        <v>6.4644668747886129</v>
      </c>
      <c r="AF66">
        <f t="shared" ref="AF66:AF97" si="54">1-(AE66/$AE$101)</f>
        <v>0.35353535353619681</v>
      </c>
      <c r="AG66">
        <v>2.9290771484375</v>
      </c>
      <c r="AH66">
        <v>311327.64044605399</v>
      </c>
      <c r="AI66">
        <f t="shared" ref="AI66:AI97" si="55">(AH66:AH165/3600)-80.0154332491</f>
        <v>6.4644668748038896</v>
      </c>
      <c r="AJ66">
        <f t="shared" ref="AJ66:AJ97" si="56">AI66/$AI$101</f>
        <v>0.64646464646434421</v>
      </c>
      <c r="AK66">
        <v>3.1778200708256299</v>
      </c>
      <c r="AL66">
        <v>347331.09975515399</v>
      </c>
      <c r="AM66">
        <f t="shared" ref="AM66:AM97" si="57">(AL66:AL165/3600)-90.0163941683</f>
        <v>6.4644668747983332</v>
      </c>
      <c r="AN66">
        <f t="shared" ref="AN66:AN97" si="58">1-(AM66/$AM$101)</f>
        <v>0.3535353535358523</v>
      </c>
      <c r="AO66">
        <v>2.92816162109375</v>
      </c>
      <c r="AP66">
        <v>4.1759396947995597</v>
      </c>
    </row>
    <row r="67" spans="1:42" x14ac:dyDescent="0.2">
      <c r="A67" s="3">
        <v>65</v>
      </c>
      <c r="B67">
        <v>23655.973477981501</v>
      </c>
      <c r="C67">
        <v>3.1763959171796001</v>
      </c>
      <c r="D67">
        <f t="shared" si="40"/>
        <v>6.5711037438837501</v>
      </c>
      <c r="E67">
        <f t="shared" si="41"/>
        <v>0.6567588920607289</v>
      </c>
      <c r="F67">
        <v>59659.668877080898</v>
      </c>
      <c r="G67">
        <f t="shared" si="42"/>
        <v>6.5654741697335837</v>
      </c>
      <c r="H67">
        <f t="shared" si="43"/>
        <v>0.34343434343426449</v>
      </c>
      <c r="I67">
        <v>2.9296875</v>
      </c>
      <c r="J67">
        <v>95664.702609177199</v>
      </c>
      <c r="K67">
        <f t="shared" si="44"/>
        <v>6.5654741697492227</v>
      </c>
      <c r="L67">
        <f t="shared" si="45"/>
        <v>0.6565656565662692</v>
      </c>
      <c r="M67">
        <v>3.17596435546875</v>
      </c>
      <c r="N67">
        <v>131668.08391627701</v>
      </c>
      <c r="O67">
        <f t="shared" si="46"/>
        <v>6.5654741697213943</v>
      </c>
      <c r="P67">
        <f t="shared" si="47"/>
        <v>0.34343434343468981</v>
      </c>
      <c r="Q67">
        <v>2.9278564453125</v>
      </c>
      <c r="R67">
        <v>167673.463635372</v>
      </c>
      <c r="S67">
        <f t="shared" si="48"/>
        <v>6.5654741697366674</v>
      </c>
      <c r="T67">
        <f t="shared" ref="T67:T98" si="59">S67/$S$101</f>
        <v>0.65656565656583421</v>
      </c>
      <c r="U67">
        <v>3.1778848050819199</v>
      </c>
      <c r="V67">
        <v>203676.85494347199</v>
      </c>
      <c r="W67">
        <f t="shared" si="49"/>
        <v>6.5654741697644354</v>
      </c>
      <c r="X67">
        <f t="shared" si="50"/>
        <v>0.34343434343321255</v>
      </c>
      <c r="Y67">
        <v>2.926025390625</v>
      </c>
      <c r="Z67">
        <v>239682.253669567</v>
      </c>
      <c r="AA67">
        <f t="shared" si="51"/>
        <v>6.5654741697019432</v>
      </c>
      <c r="AB67">
        <f t="shared" si="52"/>
        <v>0.65656565656464161</v>
      </c>
      <c r="AC67">
        <v>3.17801119101162</v>
      </c>
      <c r="AD67">
        <v>275685.68097866699</v>
      </c>
      <c r="AE67">
        <f t="shared" si="53"/>
        <v>6.5654741697074996</v>
      </c>
      <c r="AF67">
        <f t="shared" si="54"/>
        <v>0.34343434343516843</v>
      </c>
      <c r="AG67">
        <v>2.92755126953125</v>
      </c>
      <c r="AH67">
        <v>311691.26670776302</v>
      </c>
      <c r="AI67">
        <f t="shared" si="55"/>
        <v>6.5654741697230605</v>
      </c>
      <c r="AJ67">
        <f t="shared" si="56"/>
        <v>0.65656565656538557</v>
      </c>
      <c r="AK67">
        <v>3.17880033242565</v>
      </c>
      <c r="AL67">
        <v>347694.72601686302</v>
      </c>
      <c r="AM67">
        <f t="shared" si="57"/>
        <v>6.5654741697175041</v>
      </c>
      <c r="AN67">
        <f t="shared" si="58"/>
        <v>0.34343434343480528</v>
      </c>
      <c r="AO67">
        <v>2.92694091796875</v>
      </c>
      <c r="AP67">
        <v>4.1763959171796001</v>
      </c>
    </row>
    <row r="68" spans="1:42" x14ac:dyDescent="0.2">
      <c r="A68" s="3">
        <v>66</v>
      </c>
      <c r="B68">
        <v>24019.5997396897</v>
      </c>
      <c r="C68">
        <v>3.1767781575520702</v>
      </c>
      <c r="D68">
        <f t="shared" si="40"/>
        <v>6.6721110388026945</v>
      </c>
      <c r="E68">
        <f t="shared" si="41"/>
        <v>0.66685421876482531</v>
      </c>
      <c r="F68">
        <v>60023.295138789101</v>
      </c>
      <c r="G68">
        <f t="shared" si="42"/>
        <v>6.6664814646525272</v>
      </c>
      <c r="H68">
        <f t="shared" si="43"/>
        <v>0.33333333333325654</v>
      </c>
      <c r="I68">
        <v>2.928466796875</v>
      </c>
      <c r="J68">
        <v>96028.328870885394</v>
      </c>
      <c r="K68">
        <f t="shared" si="44"/>
        <v>6.6664814646681663</v>
      </c>
      <c r="L68">
        <f t="shared" si="45"/>
        <v>0.66666666666726115</v>
      </c>
      <c r="M68">
        <v>3.17708333333323</v>
      </c>
      <c r="N68">
        <v>132031.71017798499</v>
      </c>
      <c r="O68">
        <f t="shared" si="46"/>
        <v>6.6664814646402739</v>
      </c>
      <c r="P68">
        <f t="shared" si="47"/>
        <v>0.33333333333367621</v>
      </c>
      <c r="Q68">
        <v>2.9266357421875</v>
      </c>
      <c r="R68">
        <v>168037.08989708099</v>
      </c>
      <c r="S68">
        <f t="shared" si="48"/>
        <v>6.6664814646558312</v>
      </c>
      <c r="T68">
        <f t="shared" si="59"/>
        <v>0.66666666666686092</v>
      </c>
      <c r="U68">
        <v>3.17881266276052</v>
      </c>
      <c r="V68">
        <v>204040.48120518099</v>
      </c>
      <c r="W68">
        <f t="shared" si="49"/>
        <v>6.6664814646836064</v>
      </c>
      <c r="X68">
        <f t="shared" si="50"/>
        <v>0.33333333333221327</v>
      </c>
      <c r="Y68">
        <v>2.92449951171875</v>
      </c>
      <c r="Z68">
        <v>240045.87993127599</v>
      </c>
      <c r="AA68">
        <f t="shared" si="51"/>
        <v>6.6664814646211141</v>
      </c>
      <c r="AB68">
        <f t="shared" si="52"/>
        <v>0.66666666666570407</v>
      </c>
      <c r="AC68">
        <v>3.1792195638020799</v>
      </c>
      <c r="AD68">
        <v>276049.30724037602</v>
      </c>
      <c r="AE68">
        <f t="shared" si="53"/>
        <v>6.6664814646266706</v>
      </c>
      <c r="AF68">
        <f t="shared" si="54"/>
        <v>0.33333333333411164</v>
      </c>
      <c r="AG68">
        <v>2.926025390625</v>
      </c>
      <c r="AH68">
        <v>312054.892969471</v>
      </c>
      <c r="AI68">
        <f t="shared" si="55"/>
        <v>6.6664814646419472</v>
      </c>
      <c r="AJ68">
        <f t="shared" si="56"/>
        <v>0.66666666666639851</v>
      </c>
      <c r="AK68">
        <v>3.18013509114573</v>
      </c>
      <c r="AL68">
        <v>348058.35227857099</v>
      </c>
      <c r="AM68">
        <f t="shared" si="57"/>
        <v>6.6664814646363908</v>
      </c>
      <c r="AN68">
        <f t="shared" si="58"/>
        <v>0.33333333333378667</v>
      </c>
      <c r="AO68">
        <v>2.9254150390625</v>
      </c>
      <c r="AP68">
        <v>4.1767781575520697</v>
      </c>
    </row>
    <row r="69" spans="1:42" x14ac:dyDescent="0.2">
      <c r="A69" s="3">
        <v>67</v>
      </c>
      <c r="B69">
        <v>24383.226001397899</v>
      </c>
      <c r="C69">
        <v>3.1780635949336902</v>
      </c>
      <c r="D69">
        <f t="shared" si="40"/>
        <v>6.773118333721639</v>
      </c>
      <c r="E69">
        <f t="shared" si="41"/>
        <v>0.67694954546892172</v>
      </c>
      <c r="F69">
        <v>60386.921400497296</v>
      </c>
      <c r="G69">
        <f t="shared" si="42"/>
        <v>6.7674887595714708</v>
      </c>
      <c r="H69">
        <f t="shared" si="43"/>
        <v>0.32323232323224871</v>
      </c>
      <c r="I69">
        <v>2.92755126953125</v>
      </c>
      <c r="J69">
        <v>96391.955132593605</v>
      </c>
      <c r="K69">
        <f t="shared" si="44"/>
        <v>6.7674887595871134</v>
      </c>
      <c r="L69">
        <f t="shared" si="45"/>
        <v>0.67676767676825356</v>
      </c>
      <c r="M69">
        <v>3.17840576171875</v>
      </c>
      <c r="N69">
        <v>132395.33643969399</v>
      </c>
      <c r="O69">
        <f t="shared" si="46"/>
        <v>6.7674887595594448</v>
      </c>
      <c r="P69">
        <f t="shared" si="47"/>
        <v>0.3232323232326334</v>
      </c>
      <c r="Q69">
        <v>2.92510986328125</v>
      </c>
      <c r="R69">
        <v>168400.716158789</v>
      </c>
      <c r="S69">
        <f t="shared" si="48"/>
        <v>6.7674887595747251</v>
      </c>
      <c r="T69">
        <f t="shared" si="59"/>
        <v>0.67676767676786054</v>
      </c>
      <c r="U69">
        <v>3.1796387951782901</v>
      </c>
      <c r="V69">
        <v>204404.10746688899</v>
      </c>
      <c r="W69">
        <f t="shared" si="49"/>
        <v>6.7674887596024931</v>
      </c>
      <c r="X69">
        <f t="shared" si="50"/>
        <v>0.3232323232312424</v>
      </c>
      <c r="Y69">
        <v>2.9229736328125</v>
      </c>
      <c r="Z69">
        <v>240409.506192984</v>
      </c>
      <c r="AA69">
        <f t="shared" si="51"/>
        <v>6.7674887595400008</v>
      </c>
      <c r="AB69">
        <f t="shared" si="52"/>
        <v>0.6767676767667381</v>
      </c>
      <c r="AC69">
        <v>3.1796634558474</v>
      </c>
      <c r="AD69">
        <v>276412.93350208399</v>
      </c>
      <c r="AE69">
        <f t="shared" si="53"/>
        <v>6.7674887595455573</v>
      </c>
      <c r="AF69">
        <f t="shared" si="54"/>
        <v>0.32323232323308326</v>
      </c>
      <c r="AG69">
        <v>2.92449951171875</v>
      </c>
      <c r="AH69">
        <v>312418.51923117897</v>
      </c>
      <c r="AI69">
        <f t="shared" si="55"/>
        <v>6.7674887595608197</v>
      </c>
      <c r="AJ69">
        <f t="shared" si="56"/>
        <v>0.67676767676741012</v>
      </c>
      <c r="AK69">
        <v>3.1805666528565801</v>
      </c>
      <c r="AL69">
        <v>348421.97854027897</v>
      </c>
      <c r="AM69">
        <f t="shared" si="57"/>
        <v>6.7674887595552775</v>
      </c>
      <c r="AN69">
        <f t="shared" si="58"/>
        <v>0.32323232323276807</v>
      </c>
      <c r="AO69">
        <v>2.92388916015625</v>
      </c>
      <c r="AP69">
        <v>4.1780635949336897</v>
      </c>
    </row>
    <row r="70" spans="1:42" x14ac:dyDescent="0.2">
      <c r="A70" s="3">
        <v>68</v>
      </c>
      <c r="B70">
        <v>24746.852263106099</v>
      </c>
      <c r="C70">
        <v>3.1787109375</v>
      </c>
      <c r="D70">
        <f t="shared" si="40"/>
        <v>6.8741256286405834</v>
      </c>
      <c r="E70">
        <f t="shared" si="41"/>
        <v>0.68704487217301802</v>
      </c>
      <c r="F70">
        <v>60750.547662205499</v>
      </c>
      <c r="G70">
        <f t="shared" si="42"/>
        <v>6.8684960544904179</v>
      </c>
      <c r="H70">
        <f t="shared" si="43"/>
        <v>0.31313131313124054</v>
      </c>
      <c r="I70">
        <v>2.92633056640625</v>
      </c>
      <c r="J70">
        <v>96755.5813943018</v>
      </c>
      <c r="K70">
        <f t="shared" si="44"/>
        <v>6.8684960545060534</v>
      </c>
      <c r="L70">
        <f t="shared" si="45"/>
        <v>0.68686868686924518</v>
      </c>
      <c r="M70">
        <v>3.1787849195072702</v>
      </c>
      <c r="N70">
        <v>132758.96270140199</v>
      </c>
      <c r="O70">
        <f t="shared" si="46"/>
        <v>6.8684960544783316</v>
      </c>
      <c r="P70">
        <f t="shared" si="47"/>
        <v>0.31313131313161902</v>
      </c>
      <c r="Q70">
        <v>2.92388916015625</v>
      </c>
      <c r="R70">
        <v>168764.34242049701</v>
      </c>
      <c r="S70">
        <f t="shared" si="48"/>
        <v>6.8684960544936118</v>
      </c>
      <c r="T70">
        <f t="shared" si="59"/>
        <v>0.68686868686885949</v>
      </c>
      <c r="U70">
        <v>3.1806159741947702</v>
      </c>
      <c r="V70">
        <v>204767.733728597</v>
      </c>
      <c r="W70">
        <f t="shared" si="49"/>
        <v>6.8684960545213869</v>
      </c>
      <c r="X70">
        <f t="shared" si="50"/>
        <v>0.31313131313027076</v>
      </c>
      <c r="Y70">
        <v>2.92144775390625</v>
      </c>
      <c r="Z70">
        <v>240773.13245469201</v>
      </c>
      <c r="AA70">
        <f t="shared" si="51"/>
        <v>6.8684960544588876</v>
      </c>
      <c r="AB70">
        <f t="shared" si="52"/>
        <v>0.68686868686777214</v>
      </c>
      <c r="AC70">
        <v>3.1812047476719898</v>
      </c>
      <c r="AD70">
        <v>276776.55976379197</v>
      </c>
      <c r="AE70">
        <f t="shared" si="53"/>
        <v>6.868496054464444</v>
      </c>
      <c r="AF70">
        <f t="shared" si="54"/>
        <v>0.31313131313205489</v>
      </c>
      <c r="AG70">
        <v>2.9229736328125</v>
      </c>
      <c r="AH70">
        <v>312782.14549288701</v>
      </c>
      <c r="AI70">
        <f t="shared" si="55"/>
        <v>6.8684960544797207</v>
      </c>
      <c r="AJ70">
        <f t="shared" si="56"/>
        <v>0.68686868686842451</v>
      </c>
      <c r="AK70">
        <v>3.18219425702324</v>
      </c>
      <c r="AL70">
        <v>348785.60480198701</v>
      </c>
      <c r="AM70">
        <f t="shared" si="57"/>
        <v>6.8684960544741784</v>
      </c>
      <c r="AN70">
        <f t="shared" si="58"/>
        <v>0.31313131313174813</v>
      </c>
      <c r="AO70">
        <v>2.92236328125</v>
      </c>
      <c r="AP70">
        <v>4.1787109375</v>
      </c>
    </row>
    <row r="71" spans="1:42" x14ac:dyDescent="0.2">
      <c r="A71" s="3">
        <v>69</v>
      </c>
      <c r="B71">
        <v>25110.478524814302</v>
      </c>
      <c r="C71">
        <v>3.17921031605113</v>
      </c>
      <c r="D71">
        <f t="shared" si="40"/>
        <v>6.9751329235595279</v>
      </c>
      <c r="E71">
        <f t="shared" si="41"/>
        <v>0.69714019887711443</v>
      </c>
      <c r="F71">
        <v>61114.173923913702</v>
      </c>
      <c r="G71">
        <f t="shared" si="42"/>
        <v>6.9695033494093614</v>
      </c>
      <c r="H71">
        <f t="shared" si="43"/>
        <v>0.30303030303023271</v>
      </c>
      <c r="I71">
        <v>2.92510986328125</v>
      </c>
      <c r="J71">
        <v>97119.207656009996</v>
      </c>
      <c r="K71">
        <f t="shared" si="44"/>
        <v>6.9695033494249969</v>
      </c>
      <c r="L71">
        <f t="shared" si="45"/>
        <v>0.69696969697023714</v>
      </c>
      <c r="M71">
        <v>3.1804125236740401</v>
      </c>
      <c r="N71">
        <v>133122.58896311</v>
      </c>
      <c r="O71">
        <f t="shared" si="46"/>
        <v>6.9695033493972254</v>
      </c>
      <c r="P71">
        <f t="shared" si="47"/>
        <v>0.30303030303060396</v>
      </c>
      <c r="Q71">
        <v>2.92266845703125</v>
      </c>
      <c r="R71">
        <v>169127.96868220501</v>
      </c>
      <c r="S71">
        <f t="shared" si="48"/>
        <v>6.9695033494125056</v>
      </c>
      <c r="T71">
        <f t="shared" si="59"/>
        <v>0.69696969696985911</v>
      </c>
      <c r="U71">
        <v>3.18189216382609</v>
      </c>
      <c r="V71">
        <v>205131.35999030501</v>
      </c>
      <c r="W71">
        <f t="shared" si="49"/>
        <v>6.9695033494402736</v>
      </c>
      <c r="X71">
        <f t="shared" si="50"/>
        <v>0.3030303030292999</v>
      </c>
      <c r="Y71">
        <v>2.919921875</v>
      </c>
      <c r="Z71">
        <v>241136.75871640001</v>
      </c>
      <c r="AA71">
        <f t="shared" si="51"/>
        <v>6.9695033493777885</v>
      </c>
      <c r="AB71">
        <f t="shared" si="52"/>
        <v>0.69696969696880751</v>
      </c>
      <c r="AC71">
        <v>3.1823083126184399</v>
      </c>
      <c r="AD71">
        <v>277140.18602550001</v>
      </c>
      <c r="AE71">
        <f t="shared" si="53"/>
        <v>6.9695033493833449</v>
      </c>
      <c r="AF71">
        <f t="shared" si="54"/>
        <v>0.30303030303102507</v>
      </c>
      <c r="AG71">
        <v>2.92144775390625</v>
      </c>
      <c r="AH71">
        <v>313145.77175459499</v>
      </c>
      <c r="AI71">
        <f t="shared" si="55"/>
        <v>6.9695033493986074</v>
      </c>
      <c r="AJ71">
        <f t="shared" si="56"/>
        <v>0.69696969696943745</v>
      </c>
      <c r="AK71">
        <v>3.1829833984375</v>
      </c>
      <c r="AL71">
        <v>349149.23106369498</v>
      </c>
      <c r="AM71">
        <f t="shared" si="57"/>
        <v>6.9695033493930509</v>
      </c>
      <c r="AN71">
        <f t="shared" si="58"/>
        <v>0.30303030303073086</v>
      </c>
      <c r="AO71">
        <v>2.92083740234375</v>
      </c>
      <c r="AP71">
        <v>4.1792103160511296</v>
      </c>
    </row>
    <row r="72" spans="1:42" x14ac:dyDescent="0.2">
      <c r="A72" s="3">
        <v>70</v>
      </c>
      <c r="B72">
        <v>25474.104786522501</v>
      </c>
      <c r="C72">
        <v>3.1807978466303601</v>
      </c>
      <c r="D72">
        <f t="shared" si="40"/>
        <v>7.0761402184784723</v>
      </c>
      <c r="E72">
        <f t="shared" si="41"/>
        <v>0.70723552558121083</v>
      </c>
      <c r="F72">
        <v>61477.800185621898</v>
      </c>
      <c r="G72">
        <f t="shared" si="42"/>
        <v>7.070510644328305</v>
      </c>
      <c r="H72">
        <f t="shared" si="43"/>
        <v>0.29292929292922487</v>
      </c>
      <c r="I72">
        <v>2.9241943359375</v>
      </c>
      <c r="J72">
        <v>97482.833917718206</v>
      </c>
      <c r="K72">
        <f t="shared" si="44"/>
        <v>7.0705106443439441</v>
      </c>
      <c r="L72">
        <f t="shared" si="45"/>
        <v>0.70707070707122954</v>
      </c>
      <c r="M72">
        <v>3.1814081981929698</v>
      </c>
      <c r="N72">
        <v>133486.21522481801</v>
      </c>
      <c r="O72">
        <f t="shared" si="46"/>
        <v>7.0705106443161121</v>
      </c>
      <c r="P72">
        <f t="shared" si="47"/>
        <v>0.29292929292958958</v>
      </c>
      <c r="Q72">
        <v>2.921142578125</v>
      </c>
      <c r="R72">
        <v>169491.59494391299</v>
      </c>
      <c r="S72">
        <f t="shared" si="48"/>
        <v>7.0705106443313852</v>
      </c>
      <c r="T72">
        <f t="shared" si="59"/>
        <v>0.7070707070708574</v>
      </c>
      <c r="U72">
        <v>3.18282618667088</v>
      </c>
      <c r="V72">
        <v>205494.98625201301</v>
      </c>
      <c r="W72">
        <f t="shared" si="49"/>
        <v>7.0705106443591674</v>
      </c>
      <c r="X72">
        <f t="shared" si="50"/>
        <v>0.29292929292832826</v>
      </c>
      <c r="Y72">
        <v>2.91839599609375</v>
      </c>
      <c r="Z72">
        <v>241500.38497810799</v>
      </c>
      <c r="AA72">
        <f t="shared" si="51"/>
        <v>7.070510644296661</v>
      </c>
      <c r="AB72">
        <f t="shared" si="52"/>
        <v>0.70707070706984021</v>
      </c>
      <c r="AC72">
        <v>3.1833378955572198</v>
      </c>
      <c r="AD72">
        <v>277503.81228720798</v>
      </c>
      <c r="AE72">
        <f t="shared" si="53"/>
        <v>7.0705106443022174</v>
      </c>
      <c r="AF72">
        <f t="shared" si="54"/>
        <v>0.29292929292999803</v>
      </c>
      <c r="AG72">
        <v>2.919921875</v>
      </c>
      <c r="AH72">
        <v>313509.39801630302</v>
      </c>
      <c r="AI72">
        <f t="shared" si="55"/>
        <v>7.0705106443175083</v>
      </c>
      <c r="AJ72">
        <f t="shared" si="56"/>
        <v>0.70707070707045183</v>
      </c>
      <c r="AK72">
        <v>3.1842041015625</v>
      </c>
      <c r="AL72">
        <v>349512.85732540302</v>
      </c>
      <c r="AM72">
        <f t="shared" si="57"/>
        <v>7.0705106443119519</v>
      </c>
      <c r="AN72">
        <f t="shared" si="58"/>
        <v>0.29292929292971093</v>
      </c>
      <c r="AO72">
        <v>2.9193115234375</v>
      </c>
      <c r="AP72">
        <v>4.1807978466303597</v>
      </c>
    </row>
    <row r="73" spans="1:42" x14ac:dyDescent="0.2">
      <c r="A73" s="3">
        <v>71</v>
      </c>
      <c r="B73">
        <v>25837.7310482307</v>
      </c>
      <c r="C73">
        <v>3.18131572068339</v>
      </c>
      <c r="D73">
        <f t="shared" si="40"/>
        <v>7.1771475133974167</v>
      </c>
      <c r="E73">
        <f t="shared" si="41"/>
        <v>0.71733085228530713</v>
      </c>
      <c r="F73">
        <v>61841.426447329999</v>
      </c>
      <c r="G73">
        <f t="shared" si="42"/>
        <v>7.1715179392472201</v>
      </c>
      <c r="H73">
        <f t="shared" si="43"/>
        <v>0.28282828282821981</v>
      </c>
      <c r="I73">
        <v>2.9229736328125</v>
      </c>
      <c r="J73">
        <v>97846.460179426402</v>
      </c>
      <c r="K73">
        <f t="shared" si="44"/>
        <v>7.1715179392628876</v>
      </c>
      <c r="L73">
        <f t="shared" si="45"/>
        <v>0.7171717171722215</v>
      </c>
      <c r="M73">
        <v>3.18190449416046</v>
      </c>
      <c r="N73">
        <v>133849.84148652601</v>
      </c>
      <c r="O73">
        <f t="shared" si="46"/>
        <v>7.1715179392350059</v>
      </c>
      <c r="P73">
        <f t="shared" si="47"/>
        <v>0.28282828282857442</v>
      </c>
      <c r="Q73">
        <v>2.91961669921875</v>
      </c>
      <c r="R73">
        <v>169855.22120562199</v>
      </c>
      <c r="S73">
        <f t="shared" si="48"/>
        <v>7.1715179392505561</v>
      </c>
      <c r="T73">
        <f t="shared" si="59"/>
        <v>0.71717171717188477</v>
      </c>
      <c r="U73">
        <v>3.1838773476959199</v>
      </c>
      <c r="V73">
        <v>205858.61251372201</v>
      </c>
      <c r="W73">
        <f t="shared" si="49"/>
        <v>7.1715179392783313</v>
      </c>
      <c r="X73">
        <f t="shared" si="50"/>
        <v>0.28282828282732975</v>
      </c>
      <c r="Y73">
        <v>2.91656494140625</v>
      </c>
      <c r="Z73">
        <v>241864.01123981699</v>
      </c>
      <c r="AA73">
        <f t="shared" si="51"/>
        <v>7.1715179392158319</v>
      </c>
      <c r="AB73">
        <f t="shared" si="52"/>
        <v>0.71717171717090256</v>
      </c>
      <c r="AC73">
        <v>3.1842472577337202</v>
      </c>
      <c r="AD73">
        <v>277867.43854891701</v>
      </c>
      <c r="AE73">
        <f t="shared" si="53"/>
        <v>7.1715179392213884</v>
      </c>
      <c r="AF73">
        <f t="shared" si="54"/>
        <v>0.28282828282894124</v>
      </c>
      <c r="AG73">
        <v>2.9180908203125</v>
      </c>
      <c r="AH73">
        <v>313873.02427801199</v>
      </c>
      <c r="AI73">
        <f t="shared" si="55"/>
        <v>7.171517939236665</v>
      </c>
      <c r="AJ73">
        <f t="shared" si="56"/>
        <v>0.71717171717149186</v>
      </c>
      <c r="AK73">
        <v>3.1852614277542202</v>
      </c>
      <c r="AL73">
        <v>349876.48358711199</v>
      </c>
      <c r="AM73">
        <f t="shared" si="57"/>
        <v>7.1715179392311086</v>
      </c>
      <c r="AN73">
        <f t="shared" si="58"/>
        <v>0.28282828282866534</v>
      </c>
      <c r="AO73">
        <v>2.91748046875</v>
      </c>
      <c r="AP73">
        <v>4.18131572068339</v>
      </c>
    </row>
    <row r="74" spans="1:42" x14ac:dyDescent="0.2">
      <c r="A74" s="3">
        <v>72</v>
      </c>
      <c r="B74">
        <v>26201.3573099389</v>
      </c>
      <c r="C74">
        <v>3.1823175603693299</v>
      </c>
      <c r="D74">
        <f t="shared" si="40"/>
        <v>7.2781548083163612</v>
      </c>
      <c r="E74">
        <f t="shared" si="41"/>
        <v>0.72742617898940354</v>
      </c>
      <c r="F74">
        <v>62205.052709038202</v>
      </c>
      <c r="G74">
        <f t="shared" si="42"/>
        <v>7.2725252341661673</v>
      </c>
      <c r="H74">
        <f t="shared" si="43"/>
        <v>0.27272727272721164</v>
      </c>
      <c r="I74">
        <v>2.92144775390625</v>
      </c>
      <c r="J74">
        <v>98210.086441134597</v>
      </c>
      <c r="K74">
        <f t="shared" si="44"/>
        <v>7.2725252341818312</v>
      </c>
      <c r="L74">
        <f t="shared" si="45"/>
        <v>0.72727272727321357</v>
      </c>
      <c r="M74">
        <v>3.1835660067470499</v>
      </c>
      <c r="N74">
        <v>134213.46774823501</v>
      </c>
      <c r="O74">
        <f t="shared" si="46"/>
        <v>7.2725252341541697</v>
      </c>
      <c r="P74">
        <f t="shared" si="47"/>
        <v>0.27272727272753239</v>
      </c>
      <c r="Q74">
        <v>2.9180908203125</v>
      </c>
      <c r="R74">
        <v>170218.84746732999</v>
      </c>
      <c r="S74">
        <f t="shared" si="48"/>
        <v>7.2725252341694429</v>
      </c>
      <c r="T74">
        <f t="shared" si="59"/>
        <v>0.72727272727288361</v>
      </c>
      <c r="U74">
        <v>3.1851473721591499</v>
      </c>
      <c r="V74">
        <v>206222.23877543001</v>
      </c>
      <c r="W74">
        <f t="shared" si="49"/>
        <v>7.2725252341972251</v>
      </c>
      <c r="X74">
        <f t="shared" si="50"/>
        <v>0.27272727272635811</v>
      </c>
      <c r="Y74">
        <v>2.9150390625</v>
      </c>
      <c r="Z74">
        <v>242227.63750152499</v>
      </c>
      <c r="AA74">
        <f t="shared" si="51"/>
        <v>7.2725252341347186</v>
      </c>
      <c r="AB74">
        <f t="shared" si="52"/>
        <v>0.72727272727193659</v>
      </c>
      <c r="AC74">
        <v>3.18603515625</v>
      </c>
      <c r="AD74">
        <v>278231.06481062499</v>
      </c>
      <c r="AE74">
        <f t="shared" si="53"/>
        <v>7.2725252341402751</v>
      </c>
      <c r="AF74">
        <f t="shared" si="54"/>
        <v>0.27272727272791286</v>
      </c>
      <c r="AG74">
        <v>2.916259765625</v>
      </c>
      <c r="AH74">
        <v>314236.65053972002</v>
      </c>
      <c r="AI74">
        <f t="shared" si="55"/>
        <v>7.272525234155566</v>
      </c>
      <c r="AJ74">
        <f t="shared" si="56"/>
        <v>0.72727272727250625</v>
      </c>
      <c r="AK74">
        <v>3.1869784268466299</v>
      </c>
      <c r="AL74">
        <v>350240.10984882002</v>
      </c>
      <c r="AM74">
        <f t="shared" si="57"/>
        <v>7.2725252341500095</v>
      </c>
      <c r="AN74">
        <f t="shared" si="58"/>
        <v>0.2727272727276453</v>
      </c>
      <c r="AO74">
        <v>2.9156771573153799</v>
      </c>
      <c r="AP74">
        <v>4.1823175603693299</v>
      </c>
    </row>
    <row r="75" spans="1:42" x14ac:dyDescent="0.2">
      <c r="A75" s="3">
        <v>73</v>
      </c>
      <c r="B75">
        <v>26564.983571647001</v>
      </c>
      <c r="C75">
        <v>3.1829833984375</v>
      </c>
      <c r="D75">
        <f t="shared" si="40"/>
        <v>7.3791621032352781</v>
      </c>
      <c r="E75">
        <f t="shared" si="41"/>
        <v>0.73752150569349717</v>
      </c>
      <c r="F75">
        <v>62568.678970746398</v>
      </c>
      <c r="G75">
        <f t="shared" si="42"/>
        <v>7.3735325290851108</v>
      </c>
      <c r="H75">
        <f t="shared" si="43"/>
        <v>0.26262626262620381</v>
      </c>
      <c r="I75">
        <v>2.92022705078125</v>
      </c>
      <c r="J75">
        <v>98573.712702842793</v>
      </c>
      <c r="K75">
        <f t="shared" si="44"/>
        <v>7.3735325291007747</v>
      </c>
      <c r="L75">
        <f t="shared" si="45"/>
        <v>0.73737373737420553</v>
      </c>
      <c r="M75">
        <v>3.18472814078293</v>
      </c>
      <c r="N75">
        <v>134577.09400994299</v>
      </c>
      <c r="O75">
        <f t="shared" si="46"/>
        <v>7.3735325290730493</v>
      </c>
      <c r="P75">
        <f t="shared" si="47"/>
        <v>0.26262626262651867</v>
      </c>
      <c r="Q75">
        <v>2.91656494140625</v>
      </c>
      <c r="R75">
        <v>170582.473729038</v>
      </c>
      <c r="S75">
        <f t="shared" si="48"/>
        <v>7.3735325290883367</v>
      </c>
      <c r="T75">
        <f t="shared" si="59"/>
        <v>0.73737373737388334</v>
      </c>
      <c r="U75">
        <v>3.1868181324966902</v>
      </c>
      <c r="V75">
        <v>206585.86503713799</v>
      </c>
      <c r="W75">
        <f t="shared" si="49"/>
        <v>7.3735325291161047</v>
      </c>
      <c r="X75">
        <f t="shared" si="50"/>
        <v>0.26262626262538791</v>
      </c>
      <c r="Y75">
        <v>2.9132080078125</v>
      </c>
      <c r="Z75">
        <v>242591.263763233</v>
      </c>
      <c r="AA75">
        <f t="shared" si="51"/>
        <v>7.3735325290536196</v>
      </c>
      <c r="AB75">
        <f t="shared" si="52"/>
        <v>0.73737373737297207</v>
      </c>
      <c r="AC75">
        <v>3.1870369959359302</v>
      </c>
      <c r="AD75">
        <v>278594.69107233302</v>
      </c>
      <c r="AE75">
        <f t="shared" si="53"/>
        <v>7.373532529059176</v>
      </c>
      <c r="AF75">
        <f t="shared" si="54"/>
        <v>0.26262626262688304</v>
      </c>
      <c r="AG75">
        <v>2.9144287109375</v>
      </c>
      <c r="AH75">
        <v>314600.276801428</v>
      </c>
      <c r="AI75">
        <f t="shared" si="55"/>
        <v>7.3735325290744527</v>
      </c>
      <c r="AJ75">
        <f t="shared" si="56"/>
        <v>0.73737373737351919</v>
      </c>
      <c r="AK75">
        <v>3.18799876203457</v>
      </c>
      <c r="AL75">
        <v>350603.736110528</v>
      </c>
      <c r="AM75">
        <f t="shared" si="57"/>
        <v>7.3735325290688962</v>
      </c>
      <c r="AN75">
        <f t="shared" si="58"/>
        <v>0.26262626262662669</v>
      </c>
      <c r="AO75">
        <v>2.913818359375</v>
      </c>
      <c r="AP75">
        <v>4.1829833984375</v>
      </c>
    </row>
    <row r="76" spans="1:42" x14ac:dyDescent="0.2">
      <c r="A76" s="3">
        <v>74</v>
      </c>
      <c r="B76">
        <v>26928.6098333552</v>
      </c>
      <c r="C76">
        <v>3.1839944858743698</v>
      </c>
      <c r="D76">
        <f t="shared" si="40"/>
        <v>7.4801693981542225</v>
      </c>
      <c r="E76">
        <f t="shared" si="41"/>
        <v>0.74761683239759347</v>
      </c>
      <c r="F76">
        <v>62932.305232454601</v>
      </c>
      <c r="G76">
        <f t="shared" si="42"/>
        <v>7.4745398240040544</v>
      </c>
      <c r="H76">
        <f t="shared" si="43"/>
        <v>0.25252525252519586</v>
      </c>
      <c r="I76">
        <v>2.91900634765625</v>
      </c>
      <c r="J76">
        <v>98937.338964551003</v>
      </c>
      <c r="K76">
        <f t="shared" si="44"/>
        <v>7.4745398240197218</v>
      </c>
      <c r="L76">
        <f t="shared" si="45"/>
        <v>0.74747474747519793</v>
      </c>
      <c r="M76">
        <v>3.1853292445945902</v>
      </c>
      <c r="N76">
        <v>134940.72027165099</v>
      </c>
      <c r="O76">
        <f t="shared" si="46"/>
        <v>7.4745398239919432</v>
      </c>
      <c r="P76">
        <f t="shared" si="47"/>
        <v>0.25252525252550362</v>
      </c>
      <c r="Q76">
        <v>2.9150390625</v>
      </c>
      <c r="R76">
        <v>170946.09999074601</v>
      </c>
      <c r="S76">
        <f t="shared" si="48"/>
        <v>7.4745398240072234</v>
      </c>
      <c r="T76">
        <f t="shared" si="59"/>
        <v>0.7474747474748823</v>
      </c>
      <c r="U76">
        <v>3.1877614030933001</v>
      </c>
      <c r="V76">
        <v>206949.491298846</v>
      </c>
      <c r="W76">
        <f t="shared" si="49"/>
        <v>7.4745398240349985</v>
      </c>
      <c r="X76">
        <f t="shared" si="50"/>
        <v>0.25252525252441638</v>
      </c>
      <c r="Y76">
        <v>2.911376953125</v>
      </c>
      <c r="Z76">
        <v>242954.89002494101</v>
      </c>
      <c r="AA76">
        <f t="shared" si="51"/>
        <v>7.4745398239725063</v>
      </c>
      <c r="AB76">
        <f t="shared" si="52"/>
        <v>0.74747474747400611</v>
      </c>
      <c r="AC76">
        <v>3.1882761945627598</v>
      </c>
      <c r="AD76">
        <v>278958.317334041</v>
      </c>
      <c r="AE76">
        <f t="shared" si="53"/>
        <v>7.4745398239780627</v>
      </c>
      <c r="AF76">
        <f t="shared" si="54"/>
        <v>0.25252525252585467</v>
      </c>
      <c r="AG76">
        <v>2.91259765625</v>
      </c>
      <c r="AH76">
        <v>314963.90306313598</v>
      </c>
      <c r="AI76">
        <f t="shared" si="55"/>
        <v>7.4745398239933252</v>
      </c>
      <c r="AJ76">
        <f t="shared" si="56"/>
        <v>0.7474747474745308</v>
      </c>
      <c r="AK76">
        <v>3.1894876499365798</v>
      </c>
      <c r="AL76">
        <v>350967.36237223598</v>
      </c>
      <c r="AM76">
        <f t="shared" si="57"/>
        <v>7.4745398239877687</v>
      </c>
      <c r="AN76">
        <f t="shared" si="58"/>
        <v>0.25252525252560953</v>
      </c>
      <c r="AO76">
        <v>2.9119873046875</v>
      </c>
      <c r="AP76">
        <v>4.1839944858743703</v>
      </c>
    </row>
    <row r="77" spans="1:42" x14ac:dyDescent="0.2">
      <c r="A77" s="3">
        <v>75</v>
      </c>
      <c r="B77">
        <v>27292.236095063399</v>
      </c>
      <c r="C77">
        <v>3.18511962890625</v>
      </c>
      <c r="D77">
        <f t="shared" si="40"/>
        <v>7.5811766930731661</v>
      </c>
      <c r="E77">
        <f t="shared" si="41"/>
        <v>0.75771215910168976</v>
      </c>
      <c r="F77">
        <v>63295.931494162804</v>
      </c>
      <c r="G77">
        <f t="shared" si="42"/>
        <v>7.5755471189230015</v>
      </c>
      <c r="H77">
        <f t="shared" si="43"/>
        <v>0.2424242424241877</v>
      </c>
      <c r="I77">
        <v>2.91748046875</v>
      </c>
      <c r="J77">
        <v>99300.965226259199</v>
      </c>
      <c r="K77">
        <f t="shared" si="44"/>
        <v>7.5755471189386654</v>
      </c>
      <c r="L77">
        <f t="shared" si="45"/>
        <v>0.75757575757618989</v>
      </c>
      <c r="M77">
        <v>3.1869414358429098</v>
      </c>
      <c r="N77">
        <v>135304.346533359</v>
      </c>
      <c r="O77">
        <f t="shared" si="46"/>
        <v>7.575547118910837</v>
      </c>
      <c r="P77">
        <f t="shared" si="47"/>
        <v>0.24242424242448857</v>
      </c>
      <c r="Q77">
        <v>2.9132080078125</v>
      </c>
      <c r="R77">
        <v>171309.72625245401</v>
      </c>
      <c r="S77">
        <f t="shared" si="48"/>
        <v>7.5755471189261172</v>
      </c>
      <c r="T77">
        <f t="shared" si="59"/>
        <v>0.75757575757588191</v>
      </c>
      <c r="U77">
        <v>3.1890776663117402</v>
      </c>
      <c r="V77">
        <v>207313.117560554</v>
      </c>
      <c r="W77">
        <f t="shared" si="49"/>
        <v>7.5755471189538852</v>
      </c>
      <c r="X77">
        <f t="shared" si="50"/>
        <v>0.2424242424234454</v>
      </c>
      <c r="Y77">
        <v>2.9095458984375</v>
      </c>
      <c r="Z77">
        <v>243318.51628664901</v>
      </c>
      <c r="AA77">
        <f t="shared" si="51"/>
        <v>7.575547118891393</v>
      </c>
      <c r="AB77">
        <f t="shared" si="52"/>
        <v>0.75757575757504003</v>
      </c>
      <c r="AC77">
        <v>3.1899931936552002</v>
      </c>
      <c r="AD77">
        <v>279321.94359574898</v>
      </c>
      <c r="AE77">
        <f t="shared" si="53"/>
        <v>7.5755471188969352</v>
      </c>
      <c r="AF77">
        <f t="shared" si="54"/>
        <v>0.24242424242482774</v>
      </c>
      <c r="AG77">
        <v>2.91046142578125</v>
      </c>
      <c r="AH77">
        <v>315327.52932484401</v>
      </c>
      <c r="AI77">
        <f t="shared" si="55"/>
        <v>7.5755471189122261</v>
      </c>
      <c r="AJ77">
        <f t="shared" si="56"/>
        <v>0.75757575757554518</v>
      </c>
      <c r="AK77">
        <v>3.19090872099923</v>
      </c>
      <c r="AL77">
        <v>351330.98863394401</v>
      </c>
      <c r="AM77">
        <f t="shared" si="57"/>
        <v>7.5755471189066697</v>
      </c>
      <c r="AN77">
        <f t="shared" si="58"/>
        <v>0.2424242424245896</v>
      </c>
      <c r="AO77">
        <v>2.90985107421875</v>
      </c>
      <c r="AP77">
        <v>4.18511962890625</v>
      </c>
    </row>
    <row r="78" spans="1:42" x14ac:dyDescent="0.2">
      <c r="A78" s="3">
        <v>76</v>
      </c>
      <c r="B78">
        <v>27655.862356771599</v>
      </c>
      <c r="C78">
        <v>3.18634033203125</v>
      </c>
      <c r="D78">
        <f t="shared" si="40"/>
        <v>7.6821839879921106</v>
      </c>
      <c r="E78">
        <f t="shared" si="41"/>
        <v>0.76780748580578617</v>
      </c>
      <c r="F78">
        <v>63659.557755870999</v>
      </c>
      <c r="G78">
        <f t="shared" si="42"/>
        <v>7.676554413841945</v>
      </c>
      <c r="H78">
        <f t="shared" si="43"/>
        <v>0.23232323232317986</v>
      </c>
      <c r="I78">
        <v>2.91595458984375</v>
      </c>
      <c r="J78">
        <v>99664.591487967395</v>
      </c>
      <c r="K78">
        <f t="shared" si="44"/>
        <v>7.6765544138576089</v>
      </c>
      <c r="L78">
        <f t="shared" si="45"/>
        <v>0.76767676767718185</v>
      </c>
      <c r="M78">
        <v>3.1879895142833501</v>
      </c>
      <c r="N78">
        <v>135667.97279506701</v>
      </c>
      <c r="O78">
        <f t="shared" si="46"/>
        <v>7.6765544138297237</v>
      </c>
      <c r="P78">
        <f t="shared" si="47"/>
        <v>0.23232323232347418</v>
      </c>
      <c r="Q78">
        <v>2.911376953125</v>
      </c>
      <c r="R78">
        <v>171673.35251416301</v>
      </c>
      <c r="S78">
        <f t="shared" si="48"/>
        <v>7.676554413845281</v>
      </c>
      <c r="T78">
        <f t="shared" si="59"/>
        <v>0.76767676767690851</v>
      </c>
      <c r="U78">
        <v>3.1902428829312299</v>
      </c>
      <c r="V78">
        <v>207676.743822263</v>
      </c>
      <c r="W78">
        <f t="shared" si="49"/>
        <v>7.6765544138730561</v>
      </c>
      <c r="X78">
        <f t="shared" si="50"/>
        <v>0.23232323232244612</v>
      </c>
      <c r="Y78">
        <v>2.90740966796875</v>
      </c>
      <c r="Z78">
        <v>243682.14254835801</v>
      </c>
      <c r="AA78">
        <f t="shared" si="51"/>
        <v>7.6765544138105639</v>
      </c>
      <c r="AB78">
        <f t="shared" si="52"/>
        <v>0.76767676767610249</v>
      </c>
      <c r="AC78">
        <v>3.1907946654039798</v>
      </c>
      <c r="AD78">
        <v>279685.569857458</v>
      </c>
      <c r="AE78">
        <f t="shared" si="53"/>
        <v>7.6765544138161204</v>
      </c>
      <c r="AF78">
        <f t="shared" si="54"/>
        <v>0.2323232323237695</v>
      </c>
      <c r="AG78">
        <v>2.90863037109375</v>
      </c>
      <c r="AH78">
        <v>315691.15558655298</v>
      </c>
      <c r="AI78">
        <f t="shared" si="55"/>
        <v>7.6765544138313828</v>
      </c>
      <c r="AJ78">
        <f t="shared" si="56"/>
        <v>0.7676767676765851</v>
      </c>
      <c r="AK78">
        <v>3.1918920651833198</v>
      </c>
      <c r="AL78">
        <v>351694.61489565298</v>
      </c>
      <c r="AM78">
        <f t="shared" si="57"/>
        <v>7.6765544138258264</v>
      </c>
      <c r="AN78">
        <f t="shared" si="58"/>
        <v>0.23232323232354402</v>
      </c>
      <c r="AO78">
        <v>2.90771484375</v>
      </c>
      <c r="AP78">
        <v>4.18634033203125</v>
      </c>
    </row>
    <row r="79" spans="1:42" x14ac:dyDescent="0.2">
      <c r="A79" s="3">
        <v>77</v>
      </c>
      <c r="B79">
        <v>28019.488618479802</v>
      </c>
      <c r="C79">
        <v>3.1871880425347299</v>
      </c>
      <c r="D79">
        <f t="shared" si="40"/>
        <v>7.7831912829110559</v>
      </c>
      <c r="E79">
        <f t="shared" si="41"/>
        <v>0.77790281250988258</v>
      </c>
      <c r="F79">
        <v>64023.184017579202</v>
      </c>
      <c r="G79">
        <f t="shared" si="42"/>
        <v>7.7775617087608886</v>
      </c>
      <c r="H79">
        <f t="shared" si="43"/>
        <v>0.22222222222217203</v>
      </c>
      <c r="I79">
        <v>2.9144287109375</v>
      </c>
      <c r="J79">
        <v>100028.217749676</v>
      </c>
      <c r="K79">
        <f t="shared" si="44"/>
        <v>7.7775617087766662</v>
      </c>
      <c r="L79">
        <f t="shared" si="45"/>
        <v>0.77777777777818524</v>
      </c>
      <c r="M79">
        <v>3.189697265625</v>
      </c>
      <c r="N79">
        <v>136031.599056776</v>
      </c>
      <c r="O79">
        <f t="shared" si="46"/>
        <v>7.7775617087488875</v>
      </c>
      <c r="P79">
        <f t="shared" si="47"/>
        <v>0.22222222222243204</v>
      </c>
      <c r="Q79">
        <v>2.9095458984375</v>
      </c>
      <c r="R79">
        <v>172036.97877587099</v>
      </c>
      <c r="S79">
        <f t="shared" si="48"/>
        <v>7.7775617087641677</v>
      </c>
      <c r="T79">
        <f t="shared" si="59"/>
        <v>0.77777777777790746</v>
      </c>
      <c r="U79">
        <v>3.1912909613716001</v>
      </c>
      <c r="V79">
        <v>208040.37008397101</v>
      </c>
      <c r="W79">
        <f t="shared" si="49"/>
        <v>7.7775617087919429</v>
      </c>
      <c r="X79">
        <f t="shared" si="50"/>
        <v>0.22222222222147525</v>
      </c>
      <c r="Y79">
        <v>2.9052734375</v>
      </c>
      <c r="Z79">
        <v>244045.76881006599</v>
      </c>
      <c r="AA79">
        <f t="shared" si="51"/>
        <v>7.7775617087294364</v>
      </c>
      <c r="AB79">
        <f t="shared" si="52"/>
        <v>0.77777777777713508</v>
      </c>
      <c r="AC79">
        <v>3.1927490234375</v>
      </c>
      <c r="AD79">
        <v>280049.19611916598</v>
      </c>
      <c r="AE79">
        <f t="shared" si="53"/>
        <v>7.7775617087349929</v>
      </c>
      <c r="AF79">
        <f t="shared" si="54"/>
        <v>0.22222222222274246</v>
      </c>
      <c r="AG79">
        <v>2.906494140625</v>
      </c>
      <c r="AH79">
        <v>316054.78184826102</v>
      </c>
      <c r="AI79">
        <f t="shared" si="55"/>
        <v>7.7775617087502837</v>
      </c>
      <c r="AJ79">
        <f t="shared" si="56"/>
        <v>0.77777777777759949</v>
      </c>
      <c r="AK79">
        <v>3.1934271918403501</v>
      </c>
      <c r="AL79">
        <v>352058.24115736102</v>
      </c>
      <c r="AM79">
        <f t="shared" si="57"/>
        <v>7.7775617087447273</v>
      </c>
      <c r="AN79">
        <f t="shared" si="58"/>
        <v>0.22222222222252397</v>
      </c>
      <c r="AO79">
        <v>2.90557861328125</v>
      </c>
      <c r="AP79">
        <v>4.1871880425347303</v>
      </c>
    </row>
    <row r="80" spans="1:42" x14ac:dyDescent="0.2">
      <c r="A80" s="3">
        <v>78</v>
      </c>
      <c r="B80">
        <v>28383.114880188001</v>
      </c>
      <c r="C80">
        <v>3.1881251479640298</v>
      </c>
      <c r="D80">
        <f t="shared" si="40"/>
        <v>7.8841985778300003</v>
      </c>
      <c r="E80">
        <f t="shared" si="41"/>
        <v>0.78799813921397899</v>
      </c>
      <c r="F80">
        <v>64386.810279287398</v>
      </c>
      <c r="G80">
        <f t="shared" si="42"/>
        <v>7.8785690036798322</v>
      </c>
      <c r="H80">
        <f t="shared" si="43"/>
        <v>0.21212121212116419</v>
      </c>
      <c r="I80">
        <v>2.91259765625</v>
      </c>
      <c r="J80">
        <v>100391.844011384</v>
      </c>
      <c r="K80">
        <f t="shared" si="44"/>
        <v>7.8785690036955565</v>
      </c>
      <c r="L80">
        <f t="shared" si="45"/>
        <v>0.78787878787917187</v>
      </c>
      <c r="M80">
        <v>3.19065903172348</v>
      </c>
      <c r="N80">
        <v>136395.22531848401</v>
      </c>
      <c r="O80">
        <f t="shared" si="46"/>
        <v>7.8785690036677813</v>
      </c>
      <c r="P80">
        <f t="shared" si="47"/>
        <v>0.21212121212141699</v>
      </c>
      <c r="Q80">
        <v>2.90771484375</v>
      </c>
      <c r="R80">
        <v>172400.60503757899</v>
      </c>
      <c r="S80">
        <f t="shared" si="48"/>
        <v>7.8785690036830545</v>
      </c>
      <c r="T80">
        <f t="shared" si="59"/>
        <v>0.78787878787890642</v>
      </c>
      <c r="U80">
        <v>3.1927490234375</v>
      </c>
      <c r="V80">
        <v>208403.99634567901</v>
      </c>
      <c r="W80">
        <f t="shared" si="49"/>
        <v>7.8785690037108367</v>
      </c>
      <c r="X80">
        <f t="shared" si="50"/>
        <v>0.21212121212050372</v>
      </c>
      <c r="Y80">
        <v>2.90313720703125</v>
      </c>
      <c r="Z80">
        <v>244409.39507177399</v>
      </c>
      <c r="AA80">
        <f t="shared" si="51"/>
        <v>7.8785690036483373</v>
      </c>
      <c r="AB80">
        <f t="shared" si="52"/>
        <v>0.78787878787817056</v>
      </c>
      <c r="AC80">
        <v>3.1936183120265298</v>
      </c>
      <c r="AD80">
        <v>280412.82238087401</v>
      </c>
      <c r="AE80">
        <f t="shared" si="53"/>
        <v>7.8785690036538938</v>
      </c>
      <c r="AF80">
        <f t="shared" si="54"/>
        <v>0.21212121212171275</v>
      </c>
      <c r="AG80">
        <v>2.904052734375</v>
      </c>
      <c r="AH80">
        <v>316418.40810996899</v>
      </c>
      <c r="AI80">
        <f t="shared" si="55"/>
        <v>7.8785690036691705</v>
      </c>
      <c r="AJ80">
        <f t="shared" si="56"/>
        <v>0.78787878787861243</v>
      </c>
      <c r="AK80">
        <v>3.1952366684421798</v>
      </c>
      <c r="AL80">
        <v>352421.86741906899</v>
      </c>
      <c r="AM80">
        <f t="shared" si="57"/>
        <v>7.878569003663614</v>
      </c>
      <c r="AN80">
        <f t="shared" si="58"/>
        <v>0.21212121212150536</v>
      </c>
      <c r="AO80">
        <v>2.9031834457859298</v>
      </c>
      <c r="AP80">
        <v>4.1881251479640298</v>
      </c>
    </row>
    <row r="81" spans="1:42" x14ac:dyDescent="0.2">
      <c r="A81" s="3">
        <v>79</v>
      </c>
      <c r="B81">
        <v>28746.7411418962</v>
      </c>
      <c r="C81">
        <v>3.18939208984375</v>
      </c>
      <c r="D81">
        <f t="shared" si="40"/>
        <v>7.9852058727489448</v>
      </c>
      <c r="E81">
        <f t="shared" si="41"/>
        <v>0.7980934659180754</v>
      </c>
      <c r="F81">
        <v>64750.436540995601</v>
      </c>
      <c r="G81">
        <f t="shared" si="42"/>
        <v>7.9795762985987793</v>
      </c>
      <c r="H81">
        <f t="shared" si="43"/>
        <v>0.20202020202015591</v>
      </c>
      <c r="I81">
        <v>2.91107177734375</v>
      </c>
      <c r="J81">
        <v>100755.470273092</v>
      </c>
      <c r="K81">
        <f t="shared" si="44"/>
        <v>7.9795762986144432</v>
      </c>
      <c r="L81">
        <f t="shared" si="45"/>
        <v>0.79797979798015828</v>
      </c>
      <c r="M81">
        <v>3.1918489090118598</v>
      </c>
      <c r="N81">
        <v>136758.85158019199</v>
      </c>
      <c r="O81">
        <f t="shared" si="46"/>
        <v>7.979576298586661</v>
      </c>
      <c r="P81">
        <f t="shared" si="47"/>
        <v>0.20202020202040327</v>
      </c>
      <c r="Q81">
        <v>2.90557861328125</v>
      </c>
      <c r="R81">
        <v>172764.231299287</v>
      </c>
      <c r="S81">
        <f t="shared" si="48"/>
        <v>7.9795762986019483</v>
      </c>
      <c r="T81">
        <f t="shared" si="59"/>
        <v>0.79797979797990604</v>
      </c>
      <c r="U81">
        <v>3.19366455078125</v>
      </c>
      <c r="V81">
        <v>208767.62260738699</v>
      </c>
      <c r="W81">
        <f t="shared" si="49"/>
        <v>7.9795762986297163</v>
      </c>
      <c r="X81">
        <f t="shared" si="50"/>
        <v>0.20202020201953352</v>
      </c>
      <c r="Y81">
        <v>2.9010009765625</v>
      </c>
      <c r="Z81">
        <v>244773.021333482</v>
      </c>
      <c r="AA81">
        <f t="shared" si="51"/>
        <v>7.9795762985672241</v>
      </c>
      <c r="AB81">
        <f t="shared" si="52"/>
        <v>0.7979797979792046</v>
      </c>
      <c r="AC81">
        <v>3.19474037247479</v>
      </c>
      <c r="AD81">
        <v>280776.44864258199</v>
      </c>
      <c r="AE81">
        <f t="shared" si="53"/>
        <v>7.9795762985727805</v>
      </c>
      <c r="AF81">
        <f t="shared" si="54"/>
        <v>0.20202020202068427</v>
      </c>
      <c r="AG81">
        <v>2.90191650390625</v>
      </c>
      <c r="AH81">
        <v>316782.03437167697</v>
      </c>
      <c r="AI81">
        <f t="shared" si="55"/>
        <v>7.979576298588043</v>
      </c>
      <c r="AJ81">
        <f t="shared" si="56"/>
        <v>0.79797979797962404</v>
      </c>
      <c r="AK81">
        <v>3.1968766029433899</v>
      </c>
      <c r="AL81">
        <v>352785.49368077703</v>
      </c>
      <c r="AM81">
        <f t="shared" si="57"/>
        <v>7.9795762985825149</v>
      </c>
      <c r="AN81">
        <f t="shared" si="58"/>
        <v>0.20202020202048543</v>
      </c>
      <c r="AO81">
        <v>2.9010009765625</v>
      </c>
      <c r="AP81">
        <v>4.18939208984375</v>
      </c>
    </row>
    <row r="82" spans="1:42" x14ac:dyDescent="0.2">
      <c r="A82" s="3">
        <v>80</v>
      </c>
      <c r="B82">
        <v>29110.367403604399</v>
      </c>
      <c r="C82">
        <v>3.1903076171875</v>
      </c>
      <c r="D82">
        <f t="shared" si="40"/>
        <v>8.0862131676678892</v>
      </c>
      <c r="E82">
        <f t="shared" si="41"/>
        <v>0.80818879262217169</v>
      </c>
      <c r="F82">
        <v>65114.062802703796</v>
      </c>
      <c r="G82">
        <f t="shared" si="42"/>
        <v>8.0805835935177193</v>
      </c>
      <c r="H82">
        <f t="shared" si="43"/>
        <v>0.19191919191914841</v>
      </c>
      <c r="I82">
        <v>2.90924072265625</v>
      </c>
      <c r="J82">
        <v>101119.0965348</v>
      </c>
      <c r="K82">
        <f t="shared" si="44"/>
        <v>8.0805835935333334</v>
      </c>
      <c r="L82">
        <f t="shared" si="45"/>
        <v>0.80808080808114491</v>
      </c>
      <c r="M82">
        <v>3.1928106751107301</v>
      </c>
      <c r="N82">
        <v>137122.47784189999</v>
      </c>
      <c r="O82">
        <f t="shared" si="46"/>
        <v>8.0805835935055548</v>
      </c>
      <c r="P82">
        <f t="shared" si="47"/>
        <v>0.19191919191938822</v>
      </c>
      <c r="Q82">
        <v>2.9034423828125</v>
      </c>
      <c r="R82">
        <v>173127.85756099501</v>
      </c>
      <c r="S82">
        <f t="shared" si="48"/>
        <v>8.080583593520835</v>
      </c>
      <c r="T82">
        <f t="shared" si="59"/>
        <v>0.80808080808090499</v>
      </c>
      <c r="U82">
        <v>3.1960134795212798</v>
      </c>
      <c r="V82">
        <v>209131.248869095</v>
      </c>
      <c r="W82">
        <f t="shared" si="49"/>
        <v>8.0805835935486101</v>
      </c>
      <c r="X82">
        <f t="shared" si="50"/>
        <v>0.19191919191856188</v>
      </c>
      <c r="Y82">
        <v>2.8985595703125</v>
      </c>
      <c r="Z82">
        <v>245136.64759519001</v>
      </c>
      <c r="AA82">
        <f t="shared" si="51"/>
        <v>8.0805835934861108</v>
      </c>
      <c r="AB82">
        <f t="shared" si="52"/>
        <v>0.80808080808023863</v>
      </c>
      <c r="AC82">
        <v>3.1963494811397299</v>
      </c>
      <c r="AD82">
        <v>281140.07490429003</v>
      </c>
      <c r="AE82">
        <f t="shared" si="53"/>
        <v>8.0805835934916814</v>
      </c>
      <c r="AF82">
        <f t="shared" si="54"/>
        <v>0.19191919191965445</v>
      </c>
      <c r="AG82">
        <v>2.89947509765625</v>
      </c>
      <c r="AH82">
        <v>317145.66063338501</v>
      </c>
      <c r="AI82">
        <f t="shared" si="55"/>
        <v>8.0805835935069439</v>
      </c>
      <c r="AJ82">
        <f t="shared" si="56"/>
        <v>0.80808080808063842</v>
      </c>
      <c r="AK82">
        <v>3.1982113616633399</v>
      </c>
      <c r="AL82">
        <v>353149.11994248501</v>
      </c>
      <c r="AM82">
        <f t="shared" si="57"/>
        <v>8.0805835935013874</v>
      </c>
      <c r="AN82">
        <f t="shared" si="58"/>
        <v>0.19191919191946827</v>
      </c>
      <c r="AO82">
        <v>2.89825439453125</v>
      </c>
      <c r="AP82">
        <v>4.1903076171875</v>
      </c>
    </row>
    <row r="83" spans="1:42" x14ac:dyDescent="0.2">
      <c r="A83" s="3">
        <v>81</v>
      </c>
      <c r="B83">
        <v>29473.993665312599</v>
      </c>
      <c r="C83">
        <v>3.1916115500710198</v>
      </c>
      <c r="D83">
        <f t="shared" si="40"/>
        <v>8.1872204625868328</v>
      </c>
      <c r="E83">
        <f t="shared" si="41"/>
        <v>0.81828411932626799</v>
      </c>
      <c r="F83">
        <v>65477.689064411999</v>
      </c>
      <c r="G83">
        <f t="shared" si="42"/>
        <v>8.1815908884366664</v>
      </c>
      <c r="H83">
        <f t="shared" si="43"/>
        <v>0.18181818181814025</v>
      </c>
      <c r="I83">
        <v>2.9071044921875</v>
      </c>
      <c r="J83">
        <v>101482.72279650799</v>
      </c>
      <c r="K83">
        <f t="shared" si="44"/>
        <v>8.1815908884522202</v>
      </c>
      <c r="L83">
        <f t="shared" si="45"/>
        <v>0.8181818181821312</v>
      </c>
      <c r="M83">
        <v>3.19427490234375</v>
      </c>
      <c r="N83">
        <v>137486.104103608</v>
      </c>
      <c r="O83">
        <f t="shared" si="46"/>
        <v>8.1815908884244486</v>
      </c>
      <c r="P83">
        <f t="shared" si="47"/>
        <v>0.18181818181837317</v>
      </c>
      <c r="Q83">
        <v>2.90130615234375</v>
      </c>
      <c r="R83">
        <v>173491.483822704</v>
      </c>
      <c r="S83">
        <f t="shared" si="48"/>
        <v>8.1815908884399988</v>
      </c>
      <c r="T83">
        <f t="shared" si="59"/>
        <v>0.8181818181819317</v>
      </c>
      <c r="U83">
        <v>3.1961891867896299</v>
      </c>
      <c r="V83">
        <v>209494.87513080399</v>
      </c>
      <c r="W83">
        <f t="shared" si="49"/>
        <v>8.1815908884677739</v>
      </c>
      <c r="X83">
        <f t="shared" si="50"/>
        <v>0.18181818181756326</v>
      </c>
      <c r="Y83">
        <v>2.8961181640625</v>
      </c>
      <c r="Z83">
        <v>245500.273856899</v>
      </c>
      <c r="AA83">
        <f t="shared" si="51"/>
        <v>8.1815908884052817</v>
      </c>
      <c r="AB83">
        <f t="shared" si="52"/>
        <v>0.81818181818130098</v>
      </c>
      <c r="AC83">
        <v>3.19771506569611</v>
      </c>
      <c r="AD83">
        <v>281503.70116599899</v>
      </c>
      <c r="AE83">
        <f t="shared" si="53"/>
        <v>8.1815908884108381</v>
      </c>
      <c r="AF83">
        <f t="shared" si="54"/>
        <v>0.1818181818185991</v>
      </c>
      <c r="AG83">
        <v>2.89703369140625</v>
      </c>
      <c r="AH83">
        <v>317509.28689509397</v>
      </c>
      <c r="AI83">
        <f t="shared" si="55"/>
        <v>8.1815908884261006</v>
      </c>
      <c r="AJ83">
        <f t="shared" si="56"/>
        <v>0.81818181818167834</v>
      </c>
      <c r="AK83">
        <v>3.1999067826707499</v>
      </c>
      <c r="AL83">
        <v>353512.74620419397</v>
      </c>
      <c r="AM83">
        <f t="shared" si="57"/>
        <v>8.1815908884205584</v>
      </c>
      <c r="AN83">
        <f t="shared" si="58"/>
        <v>0.18181818181842124</v>
      </c>
      <c r="AO83">
        <v>2.89581298828125</v>
      </c>
      <c r="AP83">
        <v>4.1916115500710198</v>
      </c>
    </row>
    <row r="84" spans="1:42" x14ac:dyDescent="0.2">
      <c r="A84" s="3">
        <v>82</v>
      </c>
      <c r="B84">
        <v>29837.619927020802</v>
      </c>
      <c r="C84">
        <v>3.1931805851484101</v>
      </c>
      <c r="D84">
        <f t="shared" si="40"/>
        <v>8.2882277575057781</v>
      </c>
      <c r="E84">
        <f t="shared" si="41"/>
        <v>0.82837944603036451</v>
      </c>
      <c r="F84">
        <v>65841.315326120195</v>
      </c>
      <c r="G84">
        <f t="shared" si="42"/>
        <v>8.2825981833556099</v>
      </c>
      <c r="H84">
        <f t="shared" si="43"/>
        <v>0.17171717171713241</v>
      </c>
      <c r="I84">
        <v>2.9051655470722899</v>
      </c>
      <c r="J84">
        <v>101846.34905821701</v>
      </c>
      <c r="K84">
        <f t="shared" si="44"/>
        <v>8.2825981833713911</v>
      </c>
      <c r="L84">
        <f t="shared" si="45"/>
        <v>0.82828282828314592</v>
      </c>
      <c r="M84">
        <v>3.19580078125</v>
      </c>
      <c r="N84">
        <v>137849.73036531699</v>
      </c>
      <c r="O84">
        <f t="shared" si="46"/>
        <v>8.2825981833436124</v>
      </c>
      <c r="P84">
        <f t="shared" si="47"/>
        <v>0.17171717171733103</v>
      </c>
      <c r="Q84">
        <v>2.89886474609375</v>
      </c>
      <c r="R84">
        <v>173855.11008441201</v>
      </c>
      <c r="S84">
        <f t="shared" si="48"/>
        <v>8.2825981833588926</v>
      </c>
      <c r="T84">
        <f t="shared" si="59"/>
        <v>0.82828282828293132</v>
      </c>
      <c r="U84">
        <v>3.1984394728534502</v>
      </c>
      <c r="V84">
        <v>209858.501392512</v>
      </c>
      <c r="W84">
        <f t="shared" si="49"/>
        <v>8.2825981833866607</v>
      </c>
      <c r="X84">
        <f t="shared" si="50"/>
        <v>0.1717171717165924</v>
      </c>
      <c r="Y84">
        <v>2.8936767578125</v>
      </c>
      <c r="Z84">
        <v>245863.90011860701</v>
      </c>
      <c r="AA84">
        <f t="shared" si="51"/>
        <v>8.2825981833241684</v>
      </c>
      <c r="AB84">
        <f t="shared" si="52"/>
        <v>0.82828282828233502</v>
      </c>
      <c r="AC84">
        <v>3.1993550001973099</v>
      </c>
      <c r="AD84">
        <v>281867.32742770697</v>
      </c>
      <c r="AE84">
        <f t="shared" si="53"/>
        <v>8.2825981833297107</v>
      </c>
      <c r="AF84">
        <f t="shared" si="54"/>
        <v>0.17171717171757217</v>
      </c>
      <c r="AG84">
        <v>2.894287109375</v>
      </c>
      <c r="AH84">
        <v>317872.91315680201</v>
      </c>
      <c r="AI84">
        <f t="shared" si="55"/>
        <v>8.2825981833450015</v>
      </c>
      <c r="AJ84">
        <f t="shared" si="56"/>
        <v>0.82828282828269284</v>
      </c>
      <c r="AK84">
        <v>3.2015097261680801</v>
      </c>
      <c r="AL84">
        <v>353876.37246590201</v>
      </c>
      <c r="AM84">
        <f t="shared" si="57"/>
        <v>8.2825981833394451</v>
      </c>
      <c r="AN84">
        <f t="shared" si="58"/>
        <v>0.17171717171740264</v>
      </c>
      <c r="AO84">
        <v>2.89306640625</v>
      </c>
      <c r="AP84">
        <v>4.1931805851484096</v>
      </c>
    </row>
    <row r="85" spans="1:42" x14ac:dyDescent="0.2">
      <c r="A85" s="3">
        <v>83</v>
      </c>
      <c r="B85">
        <v>30201.246188729001</v>
      </c>
      <c r="C85">
        <v>3.194580078125</v>
      </c>
      <c r="D85">
        <f t="shared" si="40"/>
        <v>8.3892350524247217</v>
      </c>
      <c r="E85">
        <f t="shared" si="41"/>
        <v>0.8384747727344608</v>
      </c>
      <c r="F85">
        <v>66204.941587828405</v>
      </c>
      <c r="G85">
        <f t="shared" si="42"/>
        <v>8.383605478274557</v>
      </c>
      <c r="H85">
        <f t="shared" si="43"/>
        <v>0.16161616161612424</v>
      </c>
      <c r="I85">
        <v>2.90283203125</v>
      </c>
      <c r="J85">
        <v>102209.975319925</v>
      </c>
      <c r="K85">
        <f t="shared" si="44"/>
        <v>8.3836054782902778</v>
      </c>
      <c r="L85">
        <f t="shared" si="45"/>
        <v>0.83838383838413222</v>
      </c>
      <c r="M85">
        <v>3.1970276495422998</v>
      </c>
      <c r="N85">
        <v>138213.356627025</v>
      </c>
      <c r="O85">
        <f t="shared" si="46"/>
        <v>8.3836054782624991</v>
      </c>
      <c r="P85">
        <f t="shared" si="47"/>
        <v>0.16161616161631664</v>
      </c>
      <c r="Q85">
        <v>2.89642333984375</v>
      </c>
      <c r="R85">
        <v>174218.73634611999</v>
      </c>
      <c r="S85">
        <f t="shared" si="48"/>
        <v>8.3836054782777722</v>
      </c>
      <c r="T85">
        <f t="shared" si="59"/>
        <v>0.8383838383839296</v>
      </c>
      <c r="U85">
        <v>3.19916388001102</v>
      </c>
      <c r="V85">
        <v>210222.12765422001</v>
      </c>
      <c r="W85">
        <f t="shared" si="49"/>
        <v>8.3836054783055545</v>
      </c>
      <c r="X85">
        <f t="shared" si="50"/>
        <v>0.16161616161562087</v>
      </c>
      <c r="Y85">
        <v>2.89093017578125</v>
      </c>
      <c r="Z85">
        <v>246227.52638031499</v>
      </c>
      <c r="AA85">
        <f t="shared" si="51"/>
        <v>8.3836054782430551</v>
      </c>
      <c r="AB85">
        <f t="shared" si="52"/>
        <v>0.83838383838336905</v>
      </c>
      <c r="AC85">
        <v>3.2007020892518301</v>
      </c>
      <c r="AD85">
        <v>282230.95368941501</v>
      </c>
      <c r="AE85">
        <f t="shared" si="53"/>
        <v>8.3836054782486116</v>
      </c>
      <c r="AF85">
        <f t="shared" si="54"/>
        <v>0.16161616161654235</v>
      </c>
      <c r="AG85">
        <v>2.89154052734375</v>
      </c>
      <c r="AH85">
        <v>318236.53941850999</v>
      </c>
      <c r="AI85">
        <f t="shared" si="55"/>
        <v>8.3836054782638882</v>
      </c>
      <c r="AJ85">
        <f t="shared" si="56"/>
        <v>0.83838383838370578</v>
      </c>
      <c r="AK85">
        <v>3.20343017578125</v>
      </c>
      <c r="AL85">
        <v>354239.99872760999</v>
      </c>
      <c r="AM85">
        <f t="shared" si="57"/>
        <v>8.3836054782583318</v>
      </c>
      <c r="AN85">
        <f t="shared" si="58"/>
        <v>0.16161616161638404</v>
      </c>
      <c r="AO85">
        <v>2.89031982421875</v>
      </c>
      <c r="AP85">
        <v>4.194580078125</v>
      </c>
    </row>
    <row r="86" spans="1:42" x14ac:dyDescent="0.2">
      <c r="A86" s="3">
        <v>84</v>
      </c>
      <c r="B86">
        <v>30564.8724504372</v>
      </c>
      <c r="C86">
        <v>3.1952459161931501</v>
      </c>
      <c r="D86">
        <f t="shared" si="40"/>
        <v>8.490242347343667</v>
      </c>
      <c r="E86">
        <f t="shared" si="41"/>
        <v>0.84857009943855721</v>
      </c>
      <c r="F86">
        <v>66568.567849536601</v>
      </c>
      <c r="G86">
        <f t="shared" si="42"/>
        <v>8.4846127731935006</v>
      </c>
      <c r="H86">
        <f t="shared" si="43"/>
        <v>0.1515151515151163</v>
      </c>
      <c r="I86">
        <v>2.900390625</v>
      </c>
      <c r="J86">
        <v>102573.601581633</v>
      </c>
      <c r="K86">
        <f t="shared" si="44"/>
        <v>8.4846127732091681</v>
      </c>
      <c r="L86">
        <f t="shared" si="45"/>
        <v>0.84848484848511896</v>
      </c>
      <c r="M86">
        <v>3.1984271425189901</v>
      </c>
      <c r="N86">
        <v>138576.98288873301</v>
      </c>
      <c r="O86">
        <f t="shared" si="46"/>
        <v>8.484612773181393</v>
      </c>
      <c r="P86">
        <f t="shared" si="47"/>
        <v>0.15151515151530159</v>
      </c>
      <c r="Q86">
        <v>2.89398193359375</v>
      </c>
      <c r="R86">
        <v>174582.36260782799</v>
      </c>
      <c r="S86">
        <f t="shared" si="48"/>
        <v>8.4846127731966661</v>
      </c>
      <c r="T86">
        <f t="shared" si="59"/>
        <v>0.84848484848492922</v>
      </c>
      <c r="U86">
        <v>3.2007483280067901</v>
      </c>
      <c r="V86">
        <v>210585.75391592801</v>
      </c>
      <c r="W86">
        <f t="shared" si="49"/>
        <v>8.4846127732244483</v>
      </c>
      <c r="X86">
        <f t="shared" si="50"/>
        <v>0.15151515151464923</v>
      </c>
      <c r="Y86">
        <v>2.88818359375</v>
      </c>
      <c r="Z86">
        <v>246591.15264202299</v>
      </c>
      <c r="AA86">
        <f t="shared" si="51"/>
        <v>8.4846127731619418</v>
      </c>
      <c r="AB86">
        <f t="shared" si="52"/>
        <v>0.84848484848440309</v>
      </c>
      <c r="AC86">
        <v>3.20281982421875</v>
      </c>
      <c r="AD86">
        <v>282594.57995112299</v>
      </c>
      <c r="AE86">
        <f t="shared" si="53"/>
        <v>8.4846127731674983</v>
      </c>
      <c r="AF86">
        <f t="shared" si="54"/>
        <v>0.15151515151551398</v>
      </c>
      <c r="AG86">
        <v>2.8887939453125</v>
      </c>
      <c r="AH86">
        <v>318600.16568021802</v>
      </c>
      <c r="AI86">
        <f t="shared" si="55"/>
        <v>8.4846127731827892</v>
      </c>
      <c r="AJ86">
        <f t="shared" si="56"/>
        <v>0.84848484848472017</v>
      </c>
      <c r="AK86">
        <v>3.20507627544972</v>
      </c>
      <c r="AL86">
        <v>354603.62498931802</v>
      </c>
      <c r="AM86">
        <f t="shared" si="57"/>
        <v>8.4846127731772327</v>
      </c>
      <c r="AN86">
        <f t="shared" si="58"/>
        <v>0.15151515151536399</v>
      </c>
      <c r="AO86">
        <v>2.88726806640625</v>
      </c>
      <c r="AP86">
        <v>4.1952459161931497</v>
      </c>
    </row>
    <row r="87" spans="1:42" x14ac:dyDescent="0.2">
      <c r="A87" s="3">
        <v>85</v>
      </c>
      <c r="B87">
        <v>30928.4987121454</v>
      </c>
      <c r="C87">
        <v>3.19685810744163</v>
      </c>
      <c r="D87">
        <f t="shared" si="40"/>
        <v>8.5912496422626106</v>
      </c>
      <c r="E87">
        <f t="shared" si="41"/>
        <v>0.85866542614265351</v>
      </c>
      <c r="F87">
        <v>66932.194111244797</v>
      </c>
      <c r="G87">
        <f t="shared" si="42"/>
        <v>8.5856200681124442</v>
      </c>
      <c r="H87">
        <f t="shared" si="43"/>
        <v>0.14141414141410846</v>
      </c>
      <c r="I87">
        <v>2.89764404296875</v>
      </c>
      <c r="J87">
        <v>102937.227843341</v>
      </c>
      <c r="K87">
        <f t="shared" si="44"/>
        <v>8.5856200681280548</v>
      </c>
      <c r="L87">
        <f t="shared" si="45"/>
        <v>0.85858585858610525</v>
      </c>
      <c r="M87">
        <v>3.2001441416115299</v>
      </c>
      <c r="N87">
        <v>138940.60915044101</v>
      </c>
      <c r="O87">
        <f t="shared" si="46"/>
        <v>8.5856200681002797</v>
      </c>
      <c r="P87">
        <f t="shared" si="47"/>
        <v>0.14141414141428721</v>
      </c>
      <c r="Q87">
        <v>2.8912353515625</v>
      </c>
      <c r="R87">
        <v>174945.988869536</v>
      </c>
      <c r="S87">
        <f t="shared" si="48"/>
        <v>8.5856200681155599</v>
      </c>
      <c r="T87">
        <f t="shared" si="59"/>
        <v>0.85858585858592884</v>
      </c>
      <c r="U87">
        <v>3.2019751962990699</v>
      </c>
      <c r="V87">
        <v>210949.38017763599</v>
      </c>
      <c r="W87">
        <f t="shared" si="49"/>
        <v>8.5856200681433279</v>
      </c>
      <c r="X87">
        <f t="shared" si="50"/>
        <v>0.14141414141367903</v>
      </c>
      <c r="Y87">
        <v>2.8853661122949199</v>
      </c>
      <c r="Z87">
        <v>246954.778903731</v>
      </c>
      <c r="AA87">
        <f t="shared" si="51"/>
        <v>8.5856200680808286</v>
      </c>
      <c r="AB87">
        <f t="shared" si="52"/>
        <v>0.85858585858543712</v>
      </c>
      <c r="AC87">
        <v>3.20418232619142</v>
      </c>
      <c r="AD87">
        <v>282958.20621283102</v>
      </c>
      <c r="AE87">
        <f t="shared" si="53"/>
        <v>8.5856200680863992</v>
      </c>
      <c r="AF87">
        <f t="shared" si="54"/>
        <v>0.14141414141448416</v>
      </c>
      <c r="AG87">
        <v>2.8857421875</v>
      </c>
      <c r="AH87">
        <v>318963.791941926</v>
      </c>
      <c r="AI87">
        <f t="shared" si="55"/>
        <v>8.5856200681016617</v>
      </c>
      <c r="AJ87">
        <f t="shared" si="56"/>
        <v>0.85858585858573166</v>
      </c>
      <c r="AK87">
        <v>3.206787109375</v>
      </c>
      <c r="AL87">
        <v>354967.251251026</v>
      </c>
      <c r="AM87">
        <f t="shared" si="57"/>
        <v>8.5856200680961194</v>
      </c>
      <c r="AN87">
        <f t="shared" si="58"/>
        <v>0.1414141414143455</v>
      </c>
      <c r="AO87">
        <v>2.88421630859375</v>
      </c>
      <c r="AP87">
        <v>4.1968581074416296</v>
      </c>
    </row>
    <row r="88" spans="1:42" x14ac:dyDescent="0.2">
      <c r="A88" s="3">
        <v>86</v>
      </c>
      <c r="B88">
        <v>31292.124973853599</v>
      </c>
      <c r="C88">
        <v>3.1985042071101701</v>
      </c>
      <c r="D88">
        <f t="shared" si="40"/>
        <v>8.6922569371815559</v>
      </c>
      <c r="E88">
        <f t="shared" si="41"/>
        <v>0.86876075284674992</v>
      </c>
      <c r="F88">
        <v>67295.820372953007</v>
      </c>
      <c r="G88">
        <f t="shared" si="42"/>
        <v>8.6866273630313913</v>
      </c>
      <c r="H88">
        <f t="shared" si="43"/>
        <v>0.1313131313131003</v>
      </c>
      <c r="I88">
        <v>2.8948974609375</v>
      </c>
      <c r="J88">
        <v>103300.854105049</v>
      </c>
      <c r="K88">
        <f t="shared" si="44"/>
        <v>8.686627363046945</v>
      </c>
      <c r="L88">
        <f t="shared" si="45"/>
        <v>0.86868686868709188</v>
      </c>
      <c r="M88">
        <v>3.2005078864816401</v>
      </c>
      <c r="N88">
        <v>139304.23541214899</v>
      </c>
      <c r="O88">
        <f t="shared" si="46"/>
        <v>8.6866273630191664</v>
      </c>
      <c r="P88">
        <f t="shared" si="47"/>
        <v>0.13131313131327282</v>
      </c>
      <c r="Q88">
        <v>2.88818359375</v>
      </c>
      <c r="R88">
        <v>175309.61513124499</v>
      </c>
      <c r="S88">
        <f t="shared" si="48"/>
        <v>8.6866273630347237</v>
      </c>
      <c r="T88">
        <f t="shared" si="59"/>
        <v>0.86868686868695555</v>
      </c>
      <c r="U88">
        <v>3.2036921953915698</v>
      </c>
      <c r="V88">
        <v>211313.00643934499</v>
      </c>
      <c r="W88">
        <f t="shared" si="49"/>
        <v>8.6866273630624917</v>
      </c>
      <c r="X88">
        <f t="shared" si="50"/>
        <v>0.13131313131268052</v>
      </c>
      <c r="Y88">
        <v>2.88238525390625</v>
      </c>
      <c r="Z88">
        <v>247318.40516544</v>
      </c>
      <c r="AA88">
        <f t="shared" si="51"/>
        <v>8.6866273629999995</v>
      </c>
      <c r="AB88">
        <f t="shared" si="52"/>
        <v>0.86868686868649947</v>
      </c>
      <c r="AC88">
        <v>3.2057852696888598</v>
      </c>
      <c r="AD88">
        <v>283321.83247453999</v>
      </c>
      <c r="AE88">
        <f t="shared" si="53"/>
        <v>8.6866273630055559</v>
      </c>
      <c r="AF88">
        <f t="shared" si="54"/>
        <v>0.1313131313134287</v>
      </c>
      <c r="AG88">
        <v>2.8826904296875</v>
      </c>
      <c r="AH88">
        <v>319327.41820363502</v>
      </c>
      <c r="AI88">
        <f t="shared" si="55"/>
        <v>8.6866273630208468</v>
      </c>
      <c r="AJ88">
        <f t="shared" si="56"/>
        <v>0.86868686868677447</v>
      </c>
      <c r="AK88">
        <v>3.2086181640625</v>
      </c>
      <c r="AL88">
        <v>355330.87751273502</v>
      </c>
      <c r="AM88">
        <f t="shared" si="57"/>
        <v>8.6866273630152904</v>
      </c>
      <c r="AN88">
        <f t="shared" si="58"/>
        <v>0.13131313131329847</v>
      </c>
      <c r="AO88">
        <v>2.88116455078125</v>
      </c>
      <c r="AP88">
        <v>4.1985042071101697</v>
      </c>
    </row>
    <row r="89" spans="1:42" x14ac:dyDescent="0.2">
      <c r="A89" s="3">
        <v>87</v>
      </c>
      <c r="B89">
        <v>31655.751235561798</v>
      </c>
      <c r="C89">
        <v>3.2002304539535902</v>
      </c>
      <c r="D89">
        <f t="shared" si="40"/>
        <v>8.7932642321004995</v>
      </c>
      <c r="E89">
        <f t="shared" si="41"/>
        <v>0.87885607955084621</v>
      </c>
      <c r="F89">
        <v>67659.446634661203</v>
      </c>
      <c r="G89">
        <f t="shared" si="42"/>
        <v>8.7876346579503348</v>
      </c>
      <c r="H89">
        <f t="shared" si="43"/>
        <v>0.12121212121209246</v>
      </c>
      <c r="I89">
        <v>2.891845703125</v>
      </c>
      <c r="J89">
        <v>103664.480366758</v>
      </c>
      <c r="K89">
        <f t="shared" si="44"/>
        <v>8.7876346579661089</v>
      </c>
      <c r="L89">
        <f t="shared" si="45"/>
        <v>0.87878787878810594</v>
      </c>
      <c r="M89">
        <v>3.20281982421875</v>
      </c>
      <c r="N89">
        <v>139667.86167385799</v>
      </c>
      <c r="O89">
        <f t="shared" si="46"/>
        <v>8.7876346579383302</v>
      </c>
      <c r="P89">
        <f t="shared" si="47"/>
        <v>0.12121212121223079</v>
      </c>
      <c r="Q89">
        <v>2.8851318359375</v>
      </c>
      <c r="R89">
        <v>175673.241392953</v>
      </c>
      <c r="S89">
        <f t="shared" si="48"/>
        <v>8.7876346579536104</v>
      </c>
      <c r="T89">
        <f t="shared" si="59"/>
        <v>0.8787878787879545</v>
      </c>
      <c r="U89">
        <v>3.2049560546875</v>
      </c>
      <c r="V89">
        <v>211676.63270105299</v>
      </c>
      <c r="W89">
        <f t="shared" si="49"/>
        <v>8.7876346579813855</v>
      </c>
      <c r="X89">
        <f t="shared" si="50"/>
        <v>0.12121212121170888</v>
      </c>
      <c r="Y89">
        <v>2.8790283203125</v>
      </c>
      <c r="Z89">
        <v>247682.031427148</v>
      </c>
      <c r="AA89">
        <f t="shared" si="51"/>
        <v>8.7876346579188862</v>
      </c>
      <c r="AB89">
        <f t="shared" si="52"/>
        <v>0.87878787878753351</v>
      </c>
      <c r="AC89">
        <v>3.2073974609375</v>
      </c>
      <c r="AD89">
        <v>283685.45873624802</v>
      </c>
      <c r="AE89">
        <f t="shared" si="53"/>
        <v>8.7876346579244569</v>
      </c>
      <c r="AF89">
        <f t="shared" si="54"/>
        <v>0.12121212121239888</v>
      </c>
      <c r="AG89">
        <v>2.879638671875</v>
      </c>
      <c r="AH89">
        <v>319691.044465343</v>
      </c>
      <c r="AI89">
        <f t="shared" si="55"/>
        <v>8.7876346579397193</v>
      </c>
      <c r="AJ89">
        <f t="shared" si="56"/>
        <v>0.87878787878778608</v>
      </c>
      <c r="AK89">
        <v>3.2112167820785</v>
      </c>
      <c r="AL89">
        <v>355694.503774443</v>
      </c>
      <c r="AM89">
        <f t="shared" si="57"/>
        <v>8.7876346579341771</v>
      </c>
      <c r="AN89">
        <f t="shared" si="58"/>
        <v>0.12121212121227987</v>
      </c>
      <c r="AO89">
        <v>2.8778076171875</v>
      </c>
      <c r="AP89">
        <v>4.2002304539535897</v>
      </c>
    </row>
    <row r="90" spans="1:42" x14ac:dyDescent="0.2">
      <c r="A90" s="3">
        <v>88</v>
      </c>
      <c r="B90">
        <v>32019.377497270001</v>
      </c>
      <c r="C90">
        <v>3.2012939453125</v>
      </c>
      <c r="D90">
        <f t="shared" si="40"/>
        <v>8.8942715270194448</v>
      </c>
      <c r="E90">
        <f t="shared" si="41"/>
        <v>0.88895140625494273</v>
      </c>
      <c r="F90">
        <v>68023.072896369398</v>
      </c>
      <c r="G90">
        <f t="shared" si="42"/>
        <v>8.8886419528692784</v>
      </c>
      <c r="H90">
        <f t="shared" si="43"/>
        <v>0.11111111111108463</v>
      </c>
      <c r="I90">
        <v>2.88848876953125</v>
      </c>
      <c r="J90">
        <v>104028.106628466</v>
      </c>
      <c r="K90">
        <f t="shared" si="44"/>
        <v>8.8886419528849991</v>
      </c>
      <c r="L90">
        <f t="shared" si="45"/>
        <v>0.88888888888909268</v>
      </c>
      <c r="M90">
        <v>3.2037692599826499</v>
      </c>
      <c r="N90">
        <v>140031.48793556599</v>
      </c>
      <c r="O90">
        <f t="shared" si="46"/>
        <v>8.888641952857224</v>
      </c>
      <c r="P90">
        <f t="shared" si="47"/>
        <v>0.11111111111121563</v>
      </c>
      <c r="Q90">
        <v>2.88177490234375</v>
      </c>
      <c r="R90">
        <v>176036.86765466101</v>
      </c>
      <c r="S90">
        <f t="shared" si="48"/>
        <v>8.8886419528725042</v>
      </c>
      <c r="T90">
        <f t="shared" si="59"/>
        <v>0.88888888888895412</v>
      </c>
      <c r="U90">
        <v>3.20648193359375</v>
      </c>
      <c r="V90">
        <v>212040.258962761</v>
      </c>
      <c r="W90">
        <f t="shared" si="49"/>
        <v>8.8886419529002723</v>
      </c>
      <c r="X90">
        <f t="shared" si="50"/>
        <v>0.11111111111073801</v>
      </c>
      <c r="Y90">
        <v>2.87567138671875</v>
      </c>
      <c r="Z90">
        <v>248045.65768885601</v>
      </c>
      <c r="AA90">
        <f t="shared" si="51"/>
        <v>8.8886419528377871</v>
      </c>
      <c r="AB90">
        <f t="shared" si="52"/>
        <v>0.88888888888856898</v>
      </c>
      <c r="AC90">
        <v>3.209228515625</v>
      </c>
      <c r="AD90">
        <v>284049.084997956</v>
      </c>
      <c r="AE90">
        <f t="shared" si="53"/>
        <v>8.8886419528433294</v>
      </c>
      <c r="AF90">
        <f t="shared" si="54"/>
        <v>0.11111111111137195</v>
      </c>
      <c r="AG90">
        <v>2.8759765625</v>
      </c>
      <c r="AH90">
        <v>320054.67072705098</v>
      </c>
      <c r="AI90">
        <f t="shared" si="55"/>
        <v>8.888641952858606</v>
      </c>
      <c r="AJ90">
        <f t="shared" si="56"/>
        <v>0.88888888888879902</v>
      </c>
      <c r="AK90">
        <v>3.2120429144965899</v>
      </c>
      <c r="AL90">
        <v>356058.13003615098</v>
      </c>
      <c r="AM90">
        <f t="shared" si="57"/>
        <v>8.8886419528530496</v>
      </c>
      <c r="AN90">
        <f t="shared" si="58"/>
        <v>0.11111111111126271</v>
      </c>
      <c r="AO90">
        <v>2.8744167751735898</v>
      </c>
      <c r="AP90">
        <v>4.2012939453125</v>
      </c>
    </row>
    <row r="91" spans="1:42" x14ac:dyDescent="0.2">
      <c r="A91" s="3">
        <v>89</v>
      </c>
      <c r="B91">
        <v>32383.0037589782</v>
      </c>
      <c r="C91">
        <v>3.2027550899620998</v>
      </c>
      <c r="D91">
        <f t="shared" si="40"/>
        <v>8.9952788219383883</v>
      </c>
      <c r="E91">
        <f t="shared" si="41"/>
        <v>0.89904673295903892</v>
      </c>
      <c r="F91">
        <v>68386.699158077594</v>
      </c>
      <c r="G91">
        <f t="shared" si="42"/>
        <v>8.9896492477882219</v>
      </c>
      <c r="H91">
        <f t="shared" si="43"/>
        <v>0.10101010101007668</v>
      </c>
      <c r="I91">
        <v>2.88482666015625</v>
      </c>
      <c r="J91">
        <v>104391.732890174</v>
      </c>
      <c r="K91">
        <f t="shared" si="44"/>
        <v>8.9896492478038859</v>
      </c>
      <c r="L91">
        <f t="shared" si="45"/>
        <v>0.89898989899007897</v>
      </c>
      <c r="M91">
        <v>3.20587158203125</v>
      </c>
      <c r="N91">
        <v>140395.114197274</v>
      </c>
      <c r="O91">
        <f t="shared" si="46"/>
        <v>8.9896492477761107</v>
      </c>
      <c r="P91">
        <f t="shared" si="47"/>
        <v>0.10101010101020136</v>
      </c>
      <c r="Q91">
        <v>2.87811279296875</v>
      </c>
      <c r="R91">
        <v>176400.49391636901</v>
      </c>
      <c r="S91">
        <f t="shared" si="48"/>
        <v>8.9896492477913981</v>
      </c>
      <c r="T91">
        <f t="shared" si="59"/>
        <v>0.89898989898995374</v>
      </c>
      <c r="U91">
        <v>3.2081526939316101</v>
      </c>
      <c r="V91">
        <v>212403.88522446901</v>
      </c>
      <c r="W91">
        <f t="shared" si="49"/>
        <v>8.9896492478191661</v>
      </c>
      <c r="X91">
        <f t="shared" si="50"/>
        <v>0.10101010100976637</v>
      </c>
      <c r="Y91">
        <v>2.87200927734375</v>
      </c>
      <c r="Z91">
        <v>248409.28395056399</v>
      </c>
      <c r="AA91">
        <f t="shared" si="51"/>
        <v>8.9896492477566596</v>
      </c>
      <c r="AB91">
        <f t="shared" si="52"/>
        <v>0.89898989898960158</v>
      </c>
      <c r="AC91">
        <v>3.2106742473563501</v>
      </c>
      <c r="AD91">
        <v>284412.71125966398</v>
      </c>
      <c r="AE91">
        <f t="shared" si="53"/>
        <v>8.9896492477622161</v>
      </c>
      <c r="AF91">
        <f t="shared" si="54"/>
        <v>0.10101010101034358</v>
      </c>
      <c r="AG91">
        <v>2.87261962890625</v>
      </c>
      <c r="AH91">
        <v>320418.29698875902</v>
      </c>
      <c r="AI91">
        <f t="shared" si="55"/>
        <v>8.989649247777507</v>
      </c>
      <c r="AJ91">
        <f t="shared" si="56"/>
        <v>0.89898989898981341</v>
      </c>
      <c r="AK91">
        <v>3.21480182686232</v>
      </c>
      <c r="AL91">
        <v>356421.75629785901</v>
      </c>
      <c r="AM91">
        <f t="shared" si="57"/>
        <v>8.9896492477719505</v>
      </c>
      <c r="AN91">
        <f t="shared" si="58"/>
        <v>0.10101010101024266</v>
      </c>
      <c r="AO91">
        <v>2.87078857421875</v>
      </c>
      <c r="AP91">
        <v>4.2027550899620998</v>
      </c>
    </row>
    <row r="92" spans="1:42" x14ac:dyDescent="0.2">
      <c r="A92" s="3">
        <v>90</v>
      </c>
      <c r="B92">
        <v>32746.6300206864</v>
      </c>
      <c r="C92">
        <v>3.20465087890625</v>
      </c>
      <c r="D92">
        <f t="shared" si="40"/>
        <v>9.0962861168573337</v>
      </c>
      <c r="E92">
        <f t="shared" si="41"/>
        <v>0.90914205966313544</v>
      </c>
      <c r="F92">
        <v>68750.325419785804</v>
      </c>
      <c r="G92">
        <f t="shared" si="42"/>
        <v>9.0906565427071691</v>
      </c>
      <c r="H92">
        <f t="shared" si="43"/>
        <v>9.0909090909068513E-2</v>
      </c>
      <c r="I92">
        <v>2.88074840198863</v>
      </c>
      <c r="J92">
        <v>104755.359151882</v>
      </c>
      <c r="K92">
        <f t="shared" si="44"/>
        <v>9.0906565427227797</v>
      </c>
      <c r="L92">
        <f t="shared" si="45"/>
        <v>0.90909090909106594</v>
      </c>
      <c r="M92">
        <v>3.206787109375</v>
      </c>
      <c r="N92">
        <v>140758.74045898201</v>
      </c>
      <c r="O92">
        <f t="shared" si="46"/>
        <v>9.0906565426950046</v>
      </c>
      <c r="P92">
        <f t="shared" si="47"/>
        <v>9.0909090909186197E-2</v>
      </c>
      <c r="Q92">
        <v>2.8741455078125</v>
      </c>
      <c r="R92">
        <v>176764.12017807699</v>
      </c>
      <c r="S92">
        <f t="shared" si="48"/>
        <v>9.0906565427102777</v>
      </c>
      <c r="T92">
        <f t="shared" si="59"/>
        <v>0.90909090909095203</v>
      </c>
      <c r="U92">
        <v>3.209228515625</v>
      </c>
      <c r="V92">
        <v>212767.51148617701</v>
      </c>
      <c r="W92">
        <f t="shared" si="49"/>
        <v>9.0906565427380528</v>
      </c>
      <c r="X92">
        <f t="shared" si="50"/>
        <v>9.0909090908795509E-2</v>
      </c>
      <c r="Y92">
        <v>2.86834716796875</v>
      </c>
      <c r="Z92">
        <v>248772.91021227199</v>
      </c>
      <c r="AA92">
        <f t="shared" si="51"/>
        <v>9.0906565426755606</v>
      </c>
      <c r="AB92">
        <f t="shared" si="52"/>
        <v>0.90909090909063706</v>
      </c>
      <c r="AC92">
        <v>3.2125022194600601</v>
      </c>
      <c r="AD92">
        <v>284776.33752137201</v>
      </c>
      <c r="AE92">
        <f t="shared" si="53"/>
        <v>9.090656542681117</v>
      </c>
      <c r="AF92">
        <f t="shared" si="54"/>
        <v>9.0909090909313761E-2</v>
      </c>
      <c r="AG92">
        <v>2.86895751953125</v>
      </c>
      <c r="AH92">
        <v>320781.92325046699</v>
      </c>
      <c r="AI92">
        <f t="shared" si="55"/>
        <v>9.0906565426963937</v>
      </c>
      <c r="AJ92">
        <f t="shared" si="56"/>
        <v>0.90909090909082646</v>
      </c>
      <c r="AK92">
        <v>3.2166637073864801</v>
      </c>
      <c r="AL92">
        <v>356785.38255956699</v>
      </c>
      <c r="AM92">
        <f t="shared" si="57"/>
        <v>9.0906565426908372</v>
      </c>
      <c r="AN92">
        <f t="shared" si="58"/>
        <v>9.0909090909224055E-2</v>
      </c>
      <c r="AO92">
        <v>2.86712646484375</v>
      </c>
      <c r="AP92">
        <v>4.20465087890625</v>
      </c>
    </row>
    <row r="93" spans="1:42" x14ac:dyDescent="0.2">
      <c r="A93" s="3">
        <v>91</v>
      </c>
      <c r="B93">
        <v>33110.256282394497</v>
      </c>
      <c r="C93">
        <v>3.20648193359375</v>
      </c>
      <c r="D93">
        <f t="shared" si="40"/>
        <v>9.1972934117762488</v>
      </c>
      <c r="E93">
        <f t="shared" si="41"/>
        <v>0.91923738636722885</v>
      </c>
      <c r="F93">
        <v>69113.951681493898</v>
      </c>
      <c r="G93">
        <f t="shared" si="42"/>
        <v>9.1916638376260842</v>
      </c>
      <c r="H93">
        <f t="shared" si="43"/>
        <v>8.0808080808063565E-2</v>
      </c>
      <c r="I93">
        <v>2.8765869140625</v>
      </c>
      <c r="J93">
        <v>105118.98541359</v>
      </c>
      <c r="K93">
        <f t="shared" si="44"/>
        <v>9.1916638376416664</v>
      </c>
      <c r="L93">
        <f t="shared" si="45"/>
        <v>0.91919191919205223</v>
      </c>
      <c r="M93">
        <v>3.20953060882275</v>
      </c>
      <c r="N93">
        <v>141122.36672069001</v>
      </c>
      <c r="O93">
        <f t="shared" si="46"/>
        <v>9.1916638376138913</v>
      </c>
      <c r="P93">
        <f t="shared" si="47"/>
        <v>8.0808080808171812E-2</v>
      </c>
      <c r="Q93">
        <v>2.87017822265625</v>
      </c>
      <c r="R93">
        <v>177127.746439785</v>
      </c>
      <c r="S93">
        <f t="shared" si="48"/>
        <v>9.1916638376291644</v>
      </c>
      <c r="T93">
        <f t="shared" si="59"/>
        <v>0.91919191919195087</v>
      </c>
      <c r="U93">
        <v>3.2116606741245399</v>
      </c>
      <c r="V93">
        <v>213131.13774788499</v>
      </c>
      <c r="W93">
        <f t="shared" si="49"/>
        <v>9.1916638376569395</v>
      </c>
      <c r="X93">
        <f t="shared" si="50"/>
        <v>8.0808080807824645E-2</v>
      </c>
      <c r="Y93">
        <v>2.86468505859375</v>
      </c>
      <c r="Z93">
        <v>249136.53647398</v>
      </c>
      <c r="AA93">
        <f t="shared" si="51"/>
        <v>9.1916638375944473</v>
      </c>
      <c r="AB93">
        <f t="shared" si="52"/>
        <v>0.91919191919167098</v>
      </c>
      <c r="AC93">
        <v>3.21441650390625</v>
      </c>
      <c r="AD93">
        <v>285139.96378307999</v>
      </c>
      <c r="AE93">
        <f t="shared" si="53"/>
        <v>9.1916638376000037</v>
      </c>
      <c r="AF93">
        <f t="shared" si="54"/>
        <v>8.0808080808285387E-2</v>
      </c>
      <c r="AG93">
        <v>2.86529541015625</v>
      </c>
      <c r="AH93">
        <v>321145.54951217602</v>
      </c>
      <c r="AI93">
        <f t="shared" si="55"/>
        <v>9.1916638376155646</v>
      </c>
      <c r="AJ93">
        <f t="shared" si="56"/>
        <v>0.91919191919186782</v>
      </c>
      <c r="AK93">
        <v>3.2180878610316799</v>
      </c>
      <c r="AL93">
        <v>357149.00882127503</v>
      </c>
      <c r="AM93">
        <f t="shared" si="57"/>
        <v>9.1916638376097382</v>
      </c>
      <c r="AN93">
        <f t="shared" si="58"/>
        <v>8.0808080808204119E-2</v>
      </c>
      <c r="AO93">
        <v>2.8631591796875</v>
      </c>
      <c r="AP93">
        <v>4.20648193359375</v>
      </c>
    </row>
    <row r="94" spans="1:42" x14ac:dyDescent="0.2">
      <c r="A94" s="3">
        <v>92</v>
      </c>
      <c r="B94">
        <v>33473.8825441027</v>
      </c>
      <c r="C94">
        <v>3.20880620166509</v>
      </c>
      <c r="D94">
        <f t="shared" si="40"/>
        <v>9.2983007066951942</v>
      </c>
      <c r="E94">
        <f t="shared" si="41"/>
        <v>0.92933271307132537</v>
      </c>
      <c r="F94">
        <v>69477.577943202094</v>
      </c>
      <c r="G94">
        <f t="shared" si="42"/>
        <v>9.2926711325450242</v>
      </c>
      <c r="H94">
        <f t="shared" si="43"/>
        <v>7.0707070707056063E-2</v>
      </c>
      <c r="I94">
        <v>2.87200927734375</v>
      </c>
      <c r="J94">
        <v>105482.61167529901</v>
      </c>
      <c r="K94">
        <f t="shared" si="44"/>
        <v>9.2926711325608338</v>
      </c>
      <c r="L94">
        <f t="shared" si="45"/>
        <v>0.92929292929306662</v>
      </c>
      <c r="M94">
        <v>3.2111304697366001</v>
      </c>
      <c r="N94">
        <v>141485.99298239901</v>
      </c>
      <c r="O94">
        <f t="shared" si="46"/>
        <v>9.2926711325330622</v>
      </c>
      <c r="P94">
        <f t="shared" si="47"/>
        <v>7.0707070707129005E-2</v>
      </c>
      <c r="Q94">
        <v>2.8662109375</v>
      </c>
      <c r="R94">
        <v>177491.37270149399</v>
      </c>
      <c r="S94">
        <f t="shared" si="48"/>
        <v>9.2926711325483353</v>
      </c>
      <c r="T94">
        <f t="shared" si="59"/>
        <v>0.92929292929297824</v>
      </c>
      <c r="U94">
        <v>3.2133591777142301</v>
      </c>
      <c r="V94">
        <v>213494.76400959399</v>
      </c>
      <c r="W94">
        <f t="shared" si="49"/>
        <v>9.2926711325761033</v>
      </c>
      <c r="X94">
        <f t="shared" si="50"/>
        <v>7.0707070706826025E-2</v>
      </c>
      <c r="Y94">
        <v>2.86041259765625</v>
      </c>
      <c r="Z94">
        <v>249500.16273568899</v>
      </c>
      <c r="AA94">
        <f t="shared" si="51"/>
        <v>9.2926711325136182</v>
      </c>
      <c r="AB94">
        <f t="shared" si="52"/>
        <v>0.92929292929273344</v>
      </c>
      <c r="AC94">
        <v>3.21685791015625</v>
      </c>
      <c r="AD94">
        <v>285503.59004478902</v>
      </c>
      <c r="AE94">
        <f t="shared" si="53"/>
        <v>9.2926711325191746</v>
      </c>
      <c r="AF94">
        <f t="shared" si="54"/>
        <v>7.0707070707228592E-2</v>
      </c>
      <c r="AG94">
        <v>2.861328125</v>
      </c>
      <c r="AH94">
        <v>321509.175773884</v>
      </c>
      <c r="AI94">
        <f t="shared" si="55"/>
        <v>9.2926711325344371</v>
      </c>
      <c r="AJ94">
        <f t="shared" si="56"/>
        <v>0.92929292929287932</v>
      </c>
      <c r="AK94">
        <v>3.2212012705178701</v>
      </c>
      <c r="AL94">
        <v>357512.63508298399</v>
      </c>
      <c r="AM94">
        <f t="shared" si="57"/>
        <v>9.2926711325288949</v>
      </c>
      <c r="AN94">
        <f t="shared" si="58"/>
        <v>7.0707070707158537E-2</v>
      </c>
      <c r="AO94">
        <v>2.85919189453125</v>
      </c>
      <c r="AP94">
        <v>4.20880620166509</v>
      </c>
    </row>
    <row r="95" spans="1:42" x14ac:dyDescent="0.2">
      <c r="A95" s="3">
        <v>93</v>
      </c>
      <c r="B95">
        <v>33837.508805810903</v>
      </c>
      <c r="C95">
        <v>3.2112167820785902</v>
      </c>
      <c r="D95">
        <f t="shared" si="40"/>
        <v>9.3993080016141395</v>
      </c>
      <c r="E95">
        <f t="shared" si="41"/>
        <v>0.93942803977542177</v>
      </c>
      <c r="F95">
        <v>69841.204204910304</v>
      </c>
      <c r="G95">
        <f t="shared" si="42"/>
        <v>9.3936784274639713</v>
      </c>
      <c r="H95">
        <f t="shared" si="43"/>
        <v>6.0606060606047785E-2</v>
      </c>
      <c r="I95">
        <v>2.86712646484375</v>
      </c>
      <c r="J95">
        <v>105846.237937007</v>
      </c>
      <c r="K95">
        <f t="shared" si="44"/>
        <v>9.3936784274797205</v>
      </c>
      <c r="L95">
        <f t="shared" si="45"/>
        <v>0.93939393939405302</v>
      </c>
      <c r="M95">
        <v>3.2135009765625</v>
      </c>
      <c r="N95">
        <v>141849.61924410699</v>
      </c>
      <c r="O95">
        <f t="shared" si="46"/>
        <v>9.3936784274519418</v>
      </c>
      <c r="P95">
        <f t="shared" si="47"/>
        <v>6.0606060606115397E-2</v>
      </c>
      <c r="Q95">
        <v>2.86163330078125</v>
      </c>
      <c r="R95">
        <v>177854.998963202</v>
      </c>
      <c r="S95">
        <f t="shared" si="48"/>
        <v>9.393678427467222</v>
      </c>
      <c r="T95">
        <f t="shared" si="59"/>
        <v>0.9393939393939772</v>
      </c>
      <c r="U95">
        <v>3.2154799952652402</v>
      </c>
      <c r="V95">
        <v>213858.39027130199</v>
      </c>
      <c r="W95">
        <f t="shared" si="49"/>
        <v>9.3936784274949972</v>
      </c>
      <c r="X95">
        <f t="shared" si="50"/>
        <v>6.0606060605854384E-2</v>
      </c>
      <c r="Y95">
        <v>2.8564453125</v>
      </c>
      <c r="Z95">
        <v>249863.788997397</v>
      </c>
      <c r="AA95">
        <f t="shared" si="51"/>
        <v>9.3936784274325049</v>
      </c>
      <c r="AB95">
        <f t="shared" si="52"/>
        <v>0.93939393939376747</v>
      </c>
      <c r="AC95">
        <v>3.21868896484375</v>
      </c>
      <c r="AD95">
        <v>285867.21630649699</v>
      </c>
      <c r="AE95">
        <f t="shared" si="53"/>
        <v>9.3936784274380614</v>
      </c>
      <c r="AF95">
        <f t="shared" si="54"/>
        <v>6.0606060606200218E-2</v>
      </c>
      <c r="AG95">
        <v>2.8570556640625</v>
      </c>
      <c r="AH95">
        <v>321872.80203559197</v>
      </c>
      <c r="AI95">
        <f t="shared" si="55"/>
        <v>9.3936784274533238</v>
      </c>
      <c r="AJ95">
        <f t="shared" si="56"/>
        <v>0.93939393939389237</v>
      </c>
      <c r="AK95">
        <v>3.22357177734375</v>
      </c>
      <c r="AL95">
        <v>357876.26134469197</v>
      </c>
      <c r="AM95">
        <f t="shared" si="57"/>
        <v>9.3936784274477674</v>
      </c>
      <c r="AN95">
        <f t="shared" si="58"/>
        <v>6.0606060606141376E-2</v>
      </c>
      <c r="AO95">
        <v>2.85491943359375</v>
      </c>
      <c r="AP95">
        <v>4.2112167820785897</v>
      </c>
    </row>
    <row r="96" spans="1:42" x14ac:dyDescent="0.2">
      <c r="A96" s="3">
        <v>94</v>
      </c>
      <c r="B96">
        <v>34201.135067519099</v>
      </c>
      <c r="C96">
        <v>3.2134609029750698</v>
      </c>
      <c r="D96">
        <f t="shared" si="40"/>
        <v>9.500315296533083</v>
      </c>
      <c r="E96">
        <f t="shared" si="41"/>
        <v>0.94952336647951807</v>
      </c>
      <c r="F96">
        <v>70204.830466618499</v>
      </c>
      <c r="G96">
        <f t="shared" si="42"/>
        <v>9.4946857223829149</v>
      </c>
      <c r="H96">
        <f t="shared" si="43"/>
        <v>5.050505050503995E-2</v>
      </c>
      <c r="I96">
        <v>2.86224365234375</v>
      </c>
      <c r="J96">
        <v>106209.864198715</v>
      </c>
      <c r="K96">
        <f t="shared" si="44"/>
        <v>9.4946857223986107</v>
      </c>
      <c r="L96">
        <f t="shared" si="45"/>
        <v>0.94949494949503965</v>
      </c>
      <c r="M96">
        <v>3.21563720703125</v>
      </c>
      <c r="N96">
        <v>142213.24550581499</v>
      </c>
      <c r="O96">
        <f t="shared" si="46"/>
        <v>9.4946857223708356</v>
      </c>
      <c r="P96">
        <f t="shared" si="47"/>
        <v>5.0505050505100346E-2</v>
      </c>
      <c r="Q96">
        <v>2.8570556640625</v>
      </c>
      <c r="R96">
        <v>178218.62522491001</v>
      </c>
      <c r="S96">
        <f t="shared" si="48"/>
        <v>9.4946857223861159</v>
      </c>
      <c r="T96">
        <f t="shared" si="59"/>
        <v>0.94949494949497693</v>
      </c>
      <c r="U96">
        <v>3.21807861328125</v>
      </c>
      <c r="V96">
        <v>214222.01653301</v>
      </c>
      <c r="W96">
        <f t="shared" si="49"/>
        <v>9.4946857224138839</v>
      </c>
      <c r="X96">
        <f t="shared" si="50"/>
        <v>5.050505050488352E-2</v>
      </c>
      <c r="Y96">
        <v>2.85186767578125</v>
      </c>
      <c r="Z96">
        <v>250227.41525910501</v>
      </c>
      <c r="AA96">
        <f t="shared" si="51"/>
        <v>9.4946857223513916</v>
      </c>
      <c r="AB96">
        <f t="shared" si="52"/>
        <v>0.94949494949480151</v>
      </c>
      <c r="AC96">
        <v>3.2219256776751499</v>
      </c>
      <c r="AD96">
        <v>286230.84256820497</v>
      </c>
      <c r="AE96">
        <f t="shared" si="53"/>
        <v>9.4946857223569339</v>
      </c>
      <c r="AF96">
        <f t="shared" si="54"/>
        <v>5.0505050505173177E-2</v>
      </c>
      <c r="AG96">
        <v>2.85308837890625</v>
      </c>
      <c r="AH96">
        <v>322236.42829730001</v>
      </c>
      <c r="AI96">
        <f t="shared" si="55"/>
        <v>9.4946857223722247</v>
      </c>
      <c r="AJ96">
        <f t="shared" si="56"/>
        <v>0.94949494949490676</v>
      </c>
      <c r="AK96">
        <v>3.2271938131313198</v>
      </c>
      <c r="AL96">
        <v>358239.88760640001</v>
      </c>
      <c r="AM96">
        <f t="shared" si="57"/>
        <v>9.4946857223666683</v>
      </c>
      <c r="AN96">
        <f t="shared" si="58"/>
        <v>5.0505050505121329E-2</v>
      </c>
      <c r="AO96">
        <v>2.8509521484375</v>
      </c>
      <c r="AP96">
        <v>4.2134609029750703</v>
      </c>
    </row>
    <row r="97" spans="1:42" x14ac:dyDescent="0.2">
      <c r="A97" s="3">
        <v>95</v>
      </c>
      <c r="B97">
        <v>34564.761329227302</v>
      </c>
      <c r="C97">
        <v>3.2160965119949498</v>
      </c>
      <c r="D97">
        <f t="shared" si="40"/>
        <v>9.6013225914520284</v>
      </c>
      <c r="E97">
        <f t="shared" si="41"/>
        <v>0.95961869318361448</v>
      </c>
      <c r="F97">
        <v>70568.456728326695</v>
      </c>
      <c r="G97">
        <f t="shared" si="42"/>
        <v>9.5956930173018584</v>
      </c>
      <c r="H97">
        <f t="shared" si="43"/>
        <v>4.0404040404032115E-2</v>
      </c>
      <c r="I97">
        <v>2.8570556640625</v>
      </c>
      <c r="J97">
        <v>106573.490460423</v>
      </c>
      <c r="K97">
        <f t="shared" si="44"/>
        <v>9.5956930173174975</v>
      </c>
      <c r="L97">
        <f t="shared" si="45"/>
        <v>0.95959595959602595</v>
      </c>
      <c r="M97">
        <v>3.2176193083176199</v>
      </c>
      <c r="N97">
        <v>142576.871767523</v>
      </c>
      <c r="O97">
        <f t="shared" si="46"/>
        <v>9.5956930172897223</v>
      </c>
      <c r="P97">
        <f t="shared" si="47"/>
        <v>4.0404040404085961E-2</v>
      </c>
      <c r="Q97">
        <v>2.85247802734375</v>
      </c>
      <c r="R97">
        <v>178582.25148661801</v>
      </c>
      <c r="S97">
        <f t="shared" si="48"/>
        <v>9.5956930173050026</v>
      </c>
      <c r="T97">
        <f t="shared" si="59"/>
        <v>0.95959595959597577</v>
      </c>
      <c r="U97">
        <v>3.2205169369477802</v>
      </c>
      <c r="V97">
        <v>214585.64279471801</v>
      </c>
      <c r="W97">
        <f t="shared" si="49"/>
        <v>9.5956930173327777</v>
      </c>
      <c r="X97">
        <f t="shared" si="50"/>
        <v>4.0404040403911989E-2</v>
      </c>
      <c r="Y97">
        <v>2.8472900390625</v>
      </c>
      <c r="Z97">
        <v>250591.04152081301</v>
      </c>
      <c r="AA97">
        <f t="shared" si="51"/>
        <v>9.5956930172702783</v>
      </c>
      <c r="AB97">
        <f t="shared" si="52"/>
        <v>0.95959595959583555</v>
      </c>
      <c r="AC97">
        <v>3.22448422210371</v>
      </c>
      <c r="AD97">
        <v>286594.46882991301</v>
      </c>
      <c r="AE97">
        <f t="shared" si="53"/>
        <v>9.5956930172758348</v>
      </c>
      <c r="AF97">
        <f t="shared" si="54"/>
        <v>4.040404040414336E-2</v>
      </c>
      <c r="AG97">
        <v>2.8485107421875</v>
      </c>
      <c r="AH97">
        <v>322600.05455900799</v>
      </c>
      <c r="AI97">
        <f t="shared" si="55"/>
        <v>9.5956930172911115</v>
      </c>
      <c r="AJ97">
        <f t="shared" si="56"/>
        <v>0.9595959595959197</v>
      </c>
      <c r="AK97">
        <v>3.2299773861665102</v>
      </c>
      <c r="AL97">
        <v>358603.51386810798</v>
      </c>
      <c r="AM97">
        <f t="shared" si="57"/>
        <v>9.595693017285555</v>
      </c>
      <c r="AN97">
        <f t="shared" si="58"/>
        <v>4.0404040404102726E-2</v>
      </c>
      <c r="AO97">
        <v>2.84637451171875</v>
      </c>
      <c r="AP97">
        <v>4.2160965119949498</v>
      </c>
    </row>
    <row r="98" spans="1:42" x14ac:dyDescent="0.2">
      <c r="A98" s="3">
        <v>96</v>
      </c>
      <c r="B98">
        <v>34928.387590935497</v>
      </c>
      <c r="C98">
        <v>3.21868896484375</v>
      </c>
      <c r="D98">
        <f t="shared" si="40"/>
        <v>9.7023298863709719</v>
      </c>
      <c r="E98">
        <f t="shared" ref="E98:E101" si="60">D98/$D$101</f>
        <v>0.96971401988771078</v>
      </c>
      <c r="F98">
        <v>70932.082990034905</v>
      </c>
      <c r="G98">
        <f t="shared" ref="G98:G101" si="61">(F98:F197/3600)-10.0066560739</f>
        <v>9.6967003122208055</v>
      </c>
      <c r="H98">
        <f t="shared" ref="H98:H101" si="62">1-(G98/$G$101)</f>
        <v>3.0303030303023948E-2</v>
      </c>
      <c r="I98">
        <v>2.85186767578125</v>
      </c>
      <c r="J98">
        <v>106937.116722131</v>
      </c>
      <c r="K98">
        <f t="shared" ref="K98:K101" si="63">(J98:J197/3600)-20.0080543328</f>
        <v>9.6967003122363877</v>
      </c>
      <c r="L98">
        <f t="shared" ref="L98:L101" si="64">(K98/$K$101)</f>
        <v>0.96969696969701258</v>
      </c>
      <c r="M98">
        <v>3.2203258167617599</v>
      </c>
      <c r="N98">
        <v>142940.49802923101</v>
      </c>
      <c r="O98">
        <f t="shared" ref="O98:O101" si="65">(N98:N197/3600)-30.0089935848</f>
        <v>9.6967003122086162</v>
      </c>
      <c r="P98">
        <f t="shared" ref="P98:P101" si="66">1-(O98/$O$101)</f>
        <v>3.0303030303070799E-2</v>
      </c>
      <c r="Q98">
        <v>2.84759521484375</v>
      </c>
      <c r="R98">
        <v>178945.87774832599</v>
      </c>
      <c r="S98">
        <f t="shared" ref="S98:S101" si="67">(R97:R197/3600)-40.0104879512</f>
        <v>9.6967003122238893</v>
      </c>
      <c r="T98">
        <f t="shared" si="59"/>
        <v>0.96969696969697472</v>
      </c>
      <c r="U98">
        <v>3.2238399621210698</v>
      </c>
      <c r="V98">
        <v>214949.26905642601</v>
      </c>
      <c r="W98">
        <f t="shared" ref="W98:W101" si="68">(V98:V197/3600)-50.0114299812</f>
        <v>9.6967003122516644</v>
      </c>
      <c r="X98">
        <f t="shared" ref="X98:X101" si="69">1-(W98/$W$101)</f>
        <v>3.0303030302941125E-2</v>
      </c>
      <c r="Y98">
        <v>2.84271240234375</v>
      </c>
      <c r="Z98">
        <v>250954.66778252099</v>
      </c>
      <c r="AA98">
        <f t="shared" ref="AA98:AA101" si="70">(Z98:Z197/3600)-60.0129296274</f>
        <v>9.6967003121891651</v>
      </c>
      <c r="AB98">
        <f t="shared" ref="AB98:AB101" si="71">AA98/$AA$101</f>
        <v>0.96969696969686958</v>
      </c>
      <c r="AC98">
        <v>3.2270026929448199</v>
      </c>
      <c r="AD98">
        <v>286958.09509162098</v>
      </c>
      <c r="AE98">
        <f t="shared" ref="AE98:AE101" si="72">(AD98:AD197/3600)-70.0138816577</f>
        <v>9.6967003121947215</v>
      </c>
      <c r="AF98">
        <f t="shared" ref="AF98:AF101" si="73">1-(AE98/$AE$101)</f>
        <v>3.0303030303114986E-2</v>
      </c>
      <c r="AG98">
        <v>2.84393310546875</v>
      </c>
      <c r="AH98">
        <v>322963.68082071602</v>
      </c>
      <c r="AI98">
        <f t="shared" ref="AI98:AI101" si="74">(AH98:AH197/3600)-80.0154332491</f>
        <v>9.6967003122100124</v>
      </c>
      <c r="AJ98">
        <f t="shared" ref="AJ98:AJ101" si="75">AI98/$AI$101</f>
        <v>0.96969696969693409</v>
      </c>
      <c r="AK98">
        <v>3.2333743933476802</v>
      </c>
      <c r="AL98">
        <v>358967.14012981602</v>
      </c>
      <c r="AM98">
        <f t="shared" ref="AM98:AM101" si="76">(AL98:AL197/3600)-90.0163941683</f>
        <v>9.6967003122044559</v>
      </c>
      <c r="AN98">
        <f t="shared" ref="AN98:AN101" si="77">1-(AM98/$AM$101)</f>
        <v>3.030303030308279E-2</v>
      </c>
      <c r="AO98">
        <v>2.841796875</v>
      </c>
      <c r="AP98">
        <v>4.21868896484375</v>
      </c>
    </row>
    <row r="99" spans="1:42" x14ac:dyDescent="0.2">
      <c r="A99" s="3">
        <v>97</v>
      </c>
      <c r="B99">
        <v>35292.0138526437</v>
      </c>
      <c r="C99">
        <v>3.22227400962753</v>
      </c>
      <c r="D99">
        <f t="shared" si="40"/>
        <v>9.8033371812899173</v>
      </c>
      <c r="E99">
        <f t="shared" si="60"/>
        <v>0.9798093465918073</v>
      </c>
      <c r="F99">
        <v>71295.709251743101</v>
      </c>
      <c r="G99">
        <f t="shared" si="61"/>
        <v>9.7977076071397491</v>
      </c>
      <c r="H99">
        <f t="shared" si="62"/>
        <v>2.0202020202016002E-2</v>
      </c>
      <c r="I99">
        <v>2.8466796875</v>
      </c>
      <c r="J99">
        <v>107300.74298384</v>
      </c>
      <c r="K99">
        <f t="shared" si="63"/>
        <v>9.7977076071555551</v>
      </c>
      <c r="L99">
        <f t="shared" si="64"/>
        <v>0.97979797979802696</v>
      </c>
      <c r="M99">
        <v>3.2237998885338901</v>
      </c>
      <c r="N99">
        <v>143304.12429094</v>
      </c>
      <c r="O99">
        <f t="shared" si="65"/>
        <v>9.79770760712778</v>
      </c>
      <c r="P99">
        <f t="shared" si="66"/>
        <v>2.020202020202877E-2</v>
      </c>
      <c r="Q99">
        <v>2.84271240234375</v>
      </c>
      <c r="R99">
        <v>179309.50401003499</v>
      </c>
      <c r="S99">
        <f t="shared" si="67"/>
        <v>9.7977076071430531</v>
      </c>
      <c r="T99">
        <f t="shared" ref="T99:T101" si="78">S99/$S$101</f>
        <v>0.97979797979800143</v>
      </c>
      <c r="U99">
        <v>3.2268516463463901</v>
      </c>
      <c r="V99">
        <v>215312.89531813501</v>
      </c>
      <c r="W99">
        <f t="shared" si="68"/>
        <v>9.7977076071708353</v>
      </c>
      <c r="X99">
        <f t="shared" si="69"/>
        <v>2.0202020201941728E-2</v>
      </c>
      <c r="Y99">
        <v>2.838134765625</v>
      </c>
      <c r="Z99">
        <v>251318.29404422999</v>
      </c>
      <c r="AA99">
        <f t="shared" si="70"/>
        <v>9.797707607108336</v>
      </c>
      <c r="AB99">
        <f t="shared" si="71"/>
        <v>0.97979797979793193</v>
      </c>
      <c r="AC99">
        <v>3.2313522184735799</v>
      </c>
      <c r="AD99">
        <v>287321.72135333001</v>
      </c>
      <c r="AE99">
        <f t="shared" si="72"/>
        <v>9.7977076071138924</v>
      </c>
      <c r="AF99">
        <f t="shared" si="73"/>
        <v>2.0202020202058191E-2</v>
      </c>
      <c r="AG99">
        <v>2.83935546875</v>
      </c>
      <c r="AH99">
        <v>323327.30708242499</v>
      </c>
      <c r="AI99">
        <f t="shared" si="74"/>
        <v>9.7977076071291691</v>
      </c>
      <c r="AJ99">
        <f t="shared" si="75"/>
        <v>0.97979797979797401</v>
      </c>
      <c r="AK99">
        <v>3.2373817520911001</v>
      </c>
      <c r="AL99">
        <v>359330.76639152499</v>
      </c>
      <c r="AM99">
        <f t="shared" si="76"/>
        <v>9.7977076071236127</v>
      </c>
      <c r="AN99">
        <f t="shared" si="77"/>
        <v>2.0202020202037207E-2</v>
      </c>
      <c r="AO99">
        <v>2.83721923828125</v>
      </c>
      <c r="AP99">
        <v>4.2222740096275304</v>
      </c>
    </row>
    <row r="100" spans="1:42" x14ac:dyDescent="0.2">
      <c r="A100" s="3">
        <v>98</v>
      </c>
      <c r="B100">
        <v>35655.640114351903</v>
      </c>
      <c r="C100">
        <v>3.2252117118450099</v>
      </c>
      <c r="D100">
        <f t="shared" si="40"/>
        <v>9.9043444762088626</v>
      </c>
      <c r="E100">
        <f t="shared" si="60"/>
        <v>0.9899046732959037</v>
      </c>
      <c r="F100">
        <v>71659.335513451297</v>
      </c>
      <c r="G100">
        <f t="shared" si="61"/>
        <v>9.8987149020586926</v>
      </c>
      <c r="H100">
        <f t="shared" si="62"/>
        <v>1.0101010101008168E-2</v>
      </c>
      <c r="I100">
        <v>2.8411865234375</v>
      </c>
      <c r="J100">
        <v>107664.369245548</v>
      </c>
      <c r="K100">
        <f t="shared" si="63"/>
        <v>9.8987149020744454</v>
      </c>
      <c r="L100">
        <f t="shared" si="64"/>
        <v>0.9898989898990137</v>
      </c>
      <c r="M100">
        <v>3.22723388671875</v>
      </c>
      <c r="N100">
        <v>143667.75055264801</v>
      </c>
      <c r="O100">
        <f t="shared" si="65"/>
        <v>9.8987149020466738</v>
      </c>
      <c r="P100">
        <f t="shared" si="66"/>
        <v>1.0101010101013719E-2</v>
      </c>
      <c r="Q100">
        <v>2.8375244140625</v>
      </c>
      <c r="R100">
        <v>179673.13027174299</v>
      </c>
      <c r="S100">
        <f t="shared" si="67"/>
        <v>9.8987149020619469</v>
      </c>
      <c r="T100">
        <f t="shared" si="78"/>
        <v>0.98989898989900105</v>
      </c>
      <c r="U100">
        <v>3.2303226355352099</v>
      </c>
      <c r="V100">
        <v>215676.52157984301</v>
      </c>
      <c r="W100">
        <f t="shared" si="68"/>
        <v>9.898714902089722</v>
      </c>
      <c r="X100">
        <f t="shared" si="69"/>
        <v>1.0101010100970864E-2</v>
      </c>
      <c r="Y100">
        <v>2.83355712890625</v>
      </c>
      <c r="Z100">
        <v>251681.92030593799</v>
      </c>
      <c r="AA100">
        <f t="shared" si="70"/>
        <v>9.8987149020272227</v>
      </c>
      <c r="AB100">
        <f t="shared" si="71"/>
        <v>0.98989898989896596</v>
      </c>
      <c r="AC100">
        <v>3.2349773368449601</v>
      </c>
      <c r="AD100">
        <v>287685.34761503799</v>
      </c>
      <c r="AE100">
        <f t="shared" si="72"/>
        <v>9.8987149020327792</v>
      </c>
      <c r="AF100">
        <f t="shared" si="73"/>
        <v>1.0101010101029817E-2</v>
      </c>
      <c r="AG100">
        <v>2.83477783203125</v>
      </c>
      <c r="AH100">
        <v>323690.93334413302</v>
      </c>
      <c r="AI100">
        <f t="shared" si="74"/>
        <v>9.89871490204807</v>
      </c>
      <c r="AJ100">
        <f t="shared" si="75"/>
        <v>0.9898989898989885</v>
      </c>
      <c r="AK100">
        <v>3.24249267578125</v>
      </c>
      <c r="AL100">
        <v>359694.39265323302</v>
      </c>
      <c r="AM100">
        <f t="shared" si="76"/>
        <v>9.8987149020425136</v>
      </c>
      <c r="AN100">
        <f t="shared" si="77"/>
        <v>1.010101010101716E-2</v>
      </c>
      <c r="AO100">
        <v>2.8326416015625</v>
      </c>
      <c r="AP100">
        <v>4.2252117118450103</v>
      </c>
    </row>
    <row r="101" spans="1:42" x14ac:dyDescent="0.2">
      <c r="A101" s="3">
        <v>99</v>
      </c>
      <c r="B101">
        <v>36019.266376060099</v>
      </c>
      <c r="C101">
        <v>3.22906494140625</v>
      </c>
      <c r="D101">
        <f t="shared" si="40"/>
        <v>10.005351771127806</v>
      </c>
      <c r="E101">
        <f t="shared" si="60"/>
        <v>1</v>
      </c>
      <c r="F101">
        <v>72022.961775159507</v>
      </c>
      <c r="G101">
        <f t="shared" si="61"/>
        <v>9.9997221969776398</v>
      </c>
      <c r="H101">
        <f t="shared" si="62"/>
        <v>0</v>
      </c>
      <c r="I101">
        <v>2.83599853515625</v>
      </c>
      <c r="J101">
        <v>108027.995507256</v>
      </c>
      <c r="K101">
        <f t="shared" si="63"/>
        <v>9.9997221969933321</v>
      </c>
      <c r="L101">
        <f t="shared" si="64"/>
        <v>1</v>
      </c>
      <c r="M101">
        <v>3.23089599609375</v>
      </c>
      <c r="N101">
        <v>144031.37681435599</v>
      </c>
      <c r="O101">
        <f t="shared" si="65"/>
        <v>9.9997221969655534</v>
      </c>
      <c r="P101">
        <f t="shared" si="66"/>
        <v>0</v>
      </c>
      <c r="Q101">
        <v>2.8326416015625</v>
      </c>
      <c r="R101">
        <v>180036.756533451</v>
      </c>
      <c r="S101">
        <f t="shared" si="67"/>
        <v>9.9997221969808336</v>
      </c>
      <c r="T101">
        <f t="shared" si="78"/>
        <v>1</v>
      </c>
      <c r="U101">
        <v>3.23455810546875</v>
      </c>
      <c r="V101">
        <v>216040.14784155099</v>
      </c>
      <c r="W101">
        <f t="shared" si="68"/>
        <v>9.9997221970086088</v>
      </c>
      <c r="X101">
        <f t="shared" si="69"/>
        <v>0</v>
      </c>
      <c r="Y101">
        <v>2.82867431640625</v>
      </c>
      <c r="Z101">
        <v>252045.546567646</v>
      </c>
      <c r="AA101">
        <f t="shared" si="70"/>
        <v>9.9997221969461094</v>
      </c>
      <c r="AB101">
        <f t="shared" si="71"/>
        <v>1</v>
      </c>
      <c r="AC101">
        <v>3.23944091796875</v>
      </c>
      <c r="AD101">
        <v>288048.97387674602</v>
      </c>
      <c r="AE101">
        <f t="shared" si="72"/>
        <v>9.9997221969516801</v>
      </c>
      <c r="AF101">
        <f t="shared" si="73"/>
        <v>0</v>
      </c>
      <c r="AG101">
        <v>2.82989501953125</v>
      </c>
      <c r="AH101">
        <v>324054.559605841</v>
      </c>
      <c r="AI101">
        <f t="shared" si="74"/>
        <v>9.9997221969669425</v>
      </c>
      <c r="AJ101">
        <f t="shared" si="75"/>
        <v>1</v>
      </c>
      <c r="AK101">
        <v>3.248291015625</v>
      </c>
      <c r="AL101">
        <v>360058.018914941</v>
      </c>
      <c r="AM101">
        <f t="shared" si="76"/>
        <v>9.9997221969613861</v>
      </c>
      <c r="AN101">
        <f t="shared" si="77"/>
        <v>0</v>
      </c>
      <c r="AO101">
        <v>2.8277587890625</v>
      </c>
      <c r="AP101">
        <v>4.22906494140625</v>
      </c>
    </row>
  </sheetData>
  <pageMargins left="0.78749999999999998" right="0.78749999999999998" top="1.05277777777778" bottom="1.05277777777778" header="0.78749999999999998" footer="0.78749999999999998"/>
  <headerFooter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Adame Rouchdi</dc:creator>
  <dc:description/>
  <cp:lastModifiedBy>Irène Barthelet</cp:lastModifiedBy>
  <cp:revision>2</cp:revision>
  <dcterms:created xsi:type="dcterms:W3CDTF">2024-12-24T15:14:10Z</dcterms:created>
  <dcterms:modified xsi:type="dcterms:W3CDTF">2025-01-08T11:09:04Z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